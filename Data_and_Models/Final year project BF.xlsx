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<sst xmlns="http://schemas.openxmlformats.org/spreadsheetml/2006/main" count="184" uniqueCount="116">
  <si>
    <t>Financial Line Item</t>
  </si>
  <si>
    <t>SMC 2023</t>
  </si>
  <si>
    <t>SMC 2024</t>
  </si>
  <si>
    <t>SMC 2025</t>
  </si>
  <si>
    <t>Thatta Cement 2025</t>
  </si>
  <si>
    <t>STATEMENT OF PROFIT OR LOSS</t>
  </si>
  <si>
    <t>Revenue - net</t>
  </si>
  <si>
    <t>Cost of sales</t>
  </si>
  <si>
    <t>Gross profit</t>
  </si>
  <si>
    <t>Distribution and selling expenses</t>
  </si>
  <si>
    <t>Administrative and general expenses</t>
  </si>
  <si>
    <t>Other operating expenses</t>
  </si>
  <si>
    <t>Other income</t>
  </si>
  <si>
    <t>Operating profit (EBIT)</t>
  </si>
  <si>
    <t>Finance costs</t>
  </si>
  <si>
    <t>Levies</t>
  </si>
  <si>
    <t>Profit before taxation</t>
  </si>
  <si>
    <t>Taxation</t>
  </si>
  <si>
    <t>Profit after taxation</t>
  </si>
  <si>
    <t>STATEMENT OF FINANCIAL POSITION</t>
  </si>
  <si>
    <t>Non-current assets</t>
  </si>
  <si>
    <t>Property, plant and equipment</t>
  </si>
  <si>
    <t>Right-of-use assets</t>
  </si>
  <si>
    <t>Intangible assets</t>
  </si>
  <si>
    <t>Long-term investments</t>
  </si>
  <si>
    <t>Long-term loans and advances</t>
  </si>
  <si>
    <t>Long-term deposits</t>
  </si>
  <si>
    <t>Deferred taxation - net</t>
  </si>
  <si>
    <t>Total Non-current assets</t>
  </si>
  <si>
    <t>Current assets</t>
  </si>
  <si>
    <t>Stores, spares and loose tools</t>
  </si>
  <si>
    <t>Stock-in-trade</t>
  </si>
  <si>
    <t>Trade debts</t>
  </si>
  <si>
    <t>Loans and advances</t>
  </si>
  <si>
    <t>Prepayments, deposits and other receivables</t>
  </si>
  <si>
    <t>Short-term investments</t>
  </si>
  <si>
    <t>Taxation net / Tax refunds</t>
  </si>
  <si>
    <t>Cash and bank balances</t>
  </si>
  <si>
    <t>Total Current assets</t>
  </si>
  <si>
    <t>TOTAL ASSETS</t>
  </si>
  <si>
    <t>Share capital and reserves</t>
  </si>
  <si>
    <t>Issued, subscribed and paid up capital</t>
  </si>
  <si>
    <t>Share premium</t>
  </si>
  <si>
    <t>Revenue reserve - Accumulated profit</t>
  </si>
  <si>
    <t>Total Equity</t>
  </si>
  <si>
    <t>Non-current liabilities</t>
  </si>
  <si>
    <t>Long-term financing - secured</t>
  </si>
  <si>
    <t>Lease liability</t>
  </si>
  <si>
    <t>Retirement benefit obligations</t>
  </si>
  <si>
    <t>Deferred government grants / taxation</t>
  </si>
  <si>
    <t>Total Non-current liabilities</t>
  </si>
  <si>
    <t>Current liabilities</t>
  </si>
  <si>
    <t>Trade and other payables</t>
  </si>
  <si>
    <t>Advance from customers</t>
  </si>
  <si>
    <t>Current maturity of long-term financing</t>
  </si>
  <si>
    <t>Current maturity of lease liability</t>
  </si>
  <si>
    <t>Short term borrowings</t>
  </si>
  <si>
    <t>Loan from director</t>
  </si>
  <si>
    <t>Unclaimed / Unpaid dividend</t>
  </si>
  <si>
    <t>Accrued markup</t>
  </si>
  <si>
    <t>Total Current liabilities</t>
  </si>
  <si>
    <t>TOTAL LIABILITIES</t>
  </si>
  <si>
    <t>TOTAL EQUITY AND LIABILITIES</t>
  </si>
  <si>
    <t>Ratio Category &amp; Name</t>
  </si>
  <si>
    <t>1. Liquidity Ratios</t>
  </si>
  <si>
    <t>Current Ratio</t>
  </si>
  <si>
    <t>Acid Test (Quick) Ratio</t>
  </si>
  <si>
    <t>2. Solvency Ratios</t>
  </si>
  <si>
    <t>Total Debt to Equity</t>
  </si>
  <si>
    <t>Total Debt to Total Asset</t>
  </si>
  <si>
    <t>LT Debt to Total Capital</t>
  </si>
  <si>
    <t>3. Coverage Ratios</t>
  </si>
  <si>
    <t>Times Interest Earned</t>
  </si>
  <si>
    <t>4. Activity Ratios</t>
  </si>
  <si>
    <t>Receivable Turnover</t>
  </si>
  <si>
    <t>Average Collection Period</t>
  </si>
  <si>
    <t>Payable Turnover</t>
  </si>
  <si>
    <t>PTO in days</t>
  </si>
  <si>
    <t>Inventory Turnover</t>
  </si>
  <si>
    <t>ITO in days</t>
  </si>
  <si>
    <t>Operating Cycle</t>
  </si>
  <si>
    <t>Cash Cycle</t>
  </si>
  <si>
    <t>Total Asset Turnover</t>
  </si>
  <si>
    <t>5. Profitability Ratios</t>
  </si>
  <si>
    <t>Gross Profit Margin</t>
  </si>
  <si>
    <t>Net Profit Margin</t>
  </si>
  <si>
    <t>Return on Investment (ROA)</t>
  </si>
  <si>
    <t>Return on Equity (ROE)</t>
  </si>
  <si>
    <t>Vertical SMC 2023</t>
  </si>
  <si>
    <t>Vertical SMC 2024</t>
  </si>
  <si>
    <t>Vertical SMC 2025</t>
  </si>
  <si>
    <t>Index SMC 2023</t>
  </si>
  <si>
    <t>Index SMC 2024</t>
  </si>
  <si>
    <t>Index SMC 2025</t>
  </si>
  <si>
    <t>Date</t>
  </si>
  <si>
    <t>SMC Price</t>
  </si>
  <si>
    <t>SMC Return (%)</t>
  </si>
  <si>
    <t>Thatta Price</t>
  </si>
  <si>
    <t>Thatta Return (%)</t>
  </si>
  <si>
    <t>SMC Dev (R-Mean)</t>
  </si>
  <si>
    <t>SMC Sq Dev</t>
  </si>
  <si>
    <t>Thatta Dev (R-Mean)</t>
  </si>
  <si>
    <t>Thatta Sq Dev</t>
  </si>
  <si>
    <t>Metric</t>
  </si>
  <si>
    <t>SMC</t>
  </si>
  <si>
    <t>Thatta Cement</t>
  </si>
  <si>
    <t>Count (n)</t>
  </si>
  <si>
    <t>Average Return (Mean)</t>
  </si>
  <si>
    <t>Sum of Sq Dev</t>
  </si>
  <si>
    <t>Variance (Manual)</t>
  </si>
  <si>
    <t>Standard Deviation (Manual)</t>
  </si>
  <si>
    <t>Coefficient of Variation (CV)</t>
  </si>
  <si>
    <t>--- VERIFICATION ---</t>
  </si>
  <si>
    <t>---</t>
  </si>
  <si>
    <t>Variance (Excel)</t>
  </si>
  <si>
    <t>Standard Deviation (Excel)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</si>
</sst>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&quot;x&quot;"/>
    <numFmt numFmtId="165" formatCode="0&quot; days&quot;"/>
    <numFmt numFmtId="166" formatCode="m/d/yyyy"/>
    <numFmt numFmtId="167" formatCode="0.0000"/>
  </numFmts>
  <fonts count="11">
    <font>
      <sz val="10.0"/>
      <color rgb="FF000000"/>
      <name val="Arial"/>
      <scheme val="minor"/>
    </font>
    <font>
      <b/>
      <color rgb="FFFFFFFF"/>
      <name val="Montserrat"/>
    </font>
    <font>
      <color theme="1"/>
      <name val="Roboto"/>
    </font>
    <font>
      <b/>
      <color theme="1"/>
      <name val="Roboto"/>
    </font>
    <font>
      <b/>
      <color rgb="FF3D4657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3E5F90"/>
        <bgColor rgb="FF3E5F90"/>
      </patternFill>
    </fill>
    <fill>
      <patternFill patternType="solid">
        <fgColor rgb="FFD9E2F8"/>
        <bgColor rgb="FFD9E2F8"/>
      </patternFill>
    </fill>
    <fill>
      <patternFill patternType="solid">
        <fgColor rgb="FF00007F"/>
        <bgColor rgb="FF00007F"/>
      </patternFill>
    </fill>
    <fill>
      <patternFill patternType="solid">
        <fgColor rgb="FF196633"/>
        <bgColor rgb="FF196633"/>
      </patternFill>
    </fill>
    <fill>
      <patternFill patternType="solid">
        <fgColor rgb="FFD8D8D8"/>
        <bgColor rgb="FFD8D8D8"/>
      </patternFill>
    </fill>
    <fill>
      <patternFill patternType="solid">
        <fgColor rgb="FF0F51BA"/>
        <bgColor rgb="FF0F51BA"/>
      </patternFill>
    </fill>
    <fill>
      <patternFill patternType="solid">
        <fgColor rgb="FF197F33"/>
        <bgColor rgb="FF197F33"/>
      </patternFill>
    </fill>
  </fills>
  <borders count="2">
    <border/>
    <border>
      <top style="thin">
        <color rgb="FF181C1F"/>
      </top>
      <bottom style="thin">
        <color rgb="FF181C1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2" fontId="1" numFmtId="3" xfId="0" applyFont="1" applyNumberForma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3" xfId="0" applyAlignment="1" applyBorder="1" applyFont="1" applyNumberFormat="1">
      <alignment readingOrder="0"/>
    </xf>
    <xf borderId="0" fillId="3" fontId="4" numFmtId="0" xfId="0" applyAlignment="1" applyFill="1" applyFont="1">
      <alignment readingOrder="0"/>
    </xf>
    <xf borderId="0" fillId="3" fontId="4" numFmtId="3" xfId="0" applyFont="1" applyNumberFormat="1"/>
    <xf borderId="1" fillId="0" fontId="3" numFmtId="0" xfId="0" applyAlignment="1" applyBorder="1" applyFont="1">
      <alignment readingOrder="0"/>
    </xf>
    <xf borderId="1" fillId="0" fontId="3" numFmtId="3" xfId="0" applyAlignment="1" applyBorder="1" applyFont="1" applyNumberFormat="1">
      <alignment readingOrder="0"/>
    </xf>
    <xf borderId="0" fillId="4" fontId="5" numFmtId="0" xfId="0" applyAlignment="1" applyFill="1" applyFont="1">
      <alignment readingOrder="0" vertical="bottom"/>
    </xf>
    <xf borderId="0" fillId="0" fontId="6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164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4" fontId="5" numFmtId="4" xfId="0" applyAlignment="1" applyFont="1" applyNumberFormat="1">
      <alignment vertical="bottom"/>
    </xf>
    <xf borderId="0" fillId="0" fontId="6" numFmtId="10" xfId="0" applyAlignment="1" applyFont="1" applyNumberFormat="1">
      <alignment horizontal="center" vertical="bottom"/>
    </xf>
    <xf borderId="0" fillId="0" fontId="6" numFmtId="10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center" vertical="bottom"/>
    </xf>
    <xf borderId="0" fillId="0" fontId="6" numFmtId="165" xfId="0" applyAlignment="1" applyFont="1" applyNumberFormat="1">
      <alignment horizontal="right" vertical="bottom"/>
    </xf>
    <xf borderId="0" fillId="5" fontId="5" numFmtId="0" xfId="0" applyAlignment="1" applyFill="1" applyFont="1">
      <alignment readingOrder="0"/>
    </xf>
    <xf borderId="0" fillId="5" fontId="5" numFmtId="0" xfId="0" applyAlignment="1" applyFont="1">
      <alignment readingOrder="0"/>
    </xf>
    <xf borderId="0" fillId="5" fontId="5" numFmtId="0" xfId="0" applyFont="1"/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7" numFmtId="10" xfId="0" applyFont="1" applyNumberFormat="1"/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6" fontId="10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0" fontId="8" numFmtId="166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0" xfId="0" applyAlignment="1" applyFont="1" applyNumberFormat="1">
      <alignment horizontal="right" readingOrder="0" shrinkToFit="0" vertical="bottom" wrapText="0"/>
    </xf>
    <xf borderId="0" fillId="0" fontId="7" numFmtId="167" xfId="0" applyFont="1" applyNumberFormat="1"/>
    <xf borderId="0" fillId="0" fontId="7" numFmtId="0" xfId="0" applyAlignment="1" applyFont="1">
      <alignment readingOrder="0"/>
    </xf>
    <xf borderId="0" fillId="0" fontId="7" numFmtId="0" xfId="0" applyFont="1"/>
    <xf borderId="0" fillId="8" fontId="5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13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  <tableStyle count="2" pivot="0" name="sheet1-style 6">
      <tableStyleElement dxfId="1" type="firstRowStripe"/>
      <tableStyleElement dxfId="2" type="secondRowStripe"/>
    </tableStyle>
    <tableStyle count="3" pivot="0" name="Sheet2-style">
      <tableStyleElement dxfId="2" type="headerRow"/>
      <tableStyleElement dxfId="3" type="firstRowStripe"/>
      <tableStyleElement dxfId="2" type="secondRowStripe"/>
    </tableStyle>
    <tableStyle count="2" pivot="0" name="Sheet3-style">
      <tableStyleElement dxfId="1" type="firstRowStripe"/>
      <tableStyleElement dxfId="2" type="secondRowStripe"/>
    </tableStyle>
    <tableStyle count="2" pivot="0" name="Sheet3-style 2">
      <tableStyleElement dxfId="1" type="firstRowStripe"/>
      <tableStyleElement dxfId="2" type="secondRowStripe"/>
    </tableStyle>
    <tableStyle count="2" pivot="0" name="Sheet3-style 3">
      <tableStyleElement dxfId="1" type="firstRowStripe"/>
      <tableStyleElement dxfId="2" type="secondRowStripe"/>
    </tableStyle>
    <tableStyle count="2" pivot="0" name="Sheet3-style 4">
      <tableStyleElement dxfId="1" type="firstRowStripe"/>
      <tableStyleElement dxfId="2" type="secondRowStripe"/>
    </tableStyle>
    <tableStyle count="2" pivot="0" name="Sheet3-style 5">
      <tableStyleElement dxfId="1" type="firstRowStripe"/>
      <tableStyleElement dxfId="2" type="secondRowStripe"/>
    </tableStyle>
    <tableStyle count="2" pivot="0" name="Sheet3-style 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Figure 1: Liquidity Ratios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Sheet2!$A$3</c:f>
            </c:strRef>
          </c:tx>
          <c:spPr>
            <a:solidFill>
              <a:srgbClr val="425E91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Sheet2!$B$3:$E$3</c:f>
              <c:numCache/>
            </c:numRef>
          </c:val>
        </c:ser>
        <c:ser>
          <c:idx val="1"/>
          <c:order val="1"/>
          <c:tx>
            <c:strRef>
              <c:f>Sheet2!$A$4</c:f>
            </c:strRef>
          </c:tx>
          <c:spPr>
            <a:solidFill>
              <a:srgbClr val="72BA93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Sheet2!$B$4:$E$4</c:f>
              <c:numCache/>
            </c:numRef>
          </c:val>
        </c:ser>
        <c:axId val="1186851250"/>
        <c:axId val="879526273"/>
      </c:barChart>
      <c:catAx>
        <c:axId val="1186851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526273"/>
      </c:catAx>
      <c:valAx>
        <c:axId val="879526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851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Figure 2: Solvency Ratios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Sheet2!$A$6</c:f>
            </c:strRef>
          </c:tx>
          <c:spPr>
            <a:solidFill>
              <a:srgbClr val="425E91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Sheet2!$B$6:$E$6</c:f>
              <c:numCache/>
            </c:numRef>
          </c:val>
        </c:ser>
        <c:ser>
          <c:idx val="1"/>
          <c:order val="1"/>
          <c:tx>
            <c:strRef>
              <c:f>Sheet2!$A$7</c:f>
            </c:strRef>
          </c:tx>
          <c:spPr>
            <a:solidFill>
              <a:srgbClr val="72BA93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Sheet2!$B$7:$E$7</c:f>
              <c:numCache/>
            </c:numRef>
          </c:val>
        </c:ser>
        <c:ser>
          <c:idx val="2"/>
          <c:order val="2"/>
          <c:tx>
            <c:strRef>
              <c:f>Sheet2!$A$8</c:f>
            </c:strRef>
          </c:tx>
          <c:spPr>
            <a:solidFill>
              <a:srgbClr val="E5996B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Sheet2!$B$8:$E$8</c:f>
              <c:numCache/>
            </c:numRef>
          </c:val>
        </c:ser>
        <c:axId val="1630485526"/>
        <c:axId val="211962771"/>
      </c:barChart>
      <c:catAx>
        <c:axId val="1630485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62771"/>
      </c:catAx>
      <c:valAx>
        <c:axId val="211962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0485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Figure 3: Profitability Ratios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Sheet2!$A$22</c:f>
            </c:strRef>
          </c:tx>
          <c:spPr>
            <a:solidFill>
              <a:srgbClr val="425E91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Sheet2!$B$22:$E$22</c:f>
              <c:numCache/>
            </c:numRef>
          </c:val>
        </c:ser>
        <c:ser>
          <c:idx val="1"/>
          <c:order val="1"/>
          <c:tx>
            <c:strRef>
              <c:f>Sheet2!$A$23</c:f>
            </c:strRef>
          </c:tx>
          <c:spPr>
            <a:solidFill>
              <a:srgbClr val="72BA93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Sheet2!$B$23:$E$23</c:f>
              <c:numCache/>
            </c:numRef>
          </c:val>
        </c:ser>
        <c:ser>
          <c:idx val="2"/>
          <c:order val="2"/>
          <c:tx>
            <c:strRef>
              <c:f>Sheet2!$A$24</c:f>
            </c:strRef>
          </c:tx>
          <c:spPr>
            <a:solidFill>
              <a:srgbClr val="E5996B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Sheet2!$B$24:$E$24</c:f>
              <c:numCache/>
            </c:numRef>
          </c:val>
        </c:ser>
        <c:ser>
          <c:idx val="3"/>
          <c:order val="3"/>
          <c:tx>
            <c:strRef>
              <c:f>Sheet2!$A$25</c:f>
            </c:strRef>
          </c:tx>
          <c:spPr>
            <a:solidFill>
              <a:srgbClr val="FF8799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Sheet2!$B$25:$E$25</c:f>
              <c:numCache/>
            </c:numRef>
          </c:val>
        </c:ser>
        <c:axId val="319188729"/>
        <c:axId val="924301533"/>
      </c:barChart>
      <c:catAx>
        <c:axId val="319188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301533"/>
      </c:catAx>
      <c:valAx>
        <c:axId val="924301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1887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Figure 4: Activity Ratios (Days)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Sheet2!$A$13</c:f>
            </c:strRef>
          </c:tx>
          <c:spPr>
            <a:solidFill>
              <a:srgbClr val="425E91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Sheet2!$B$13:$E$13</c:f>
              <c:numCache/>
            </c:numRef>
          </c:val>
        </c:ser>
        <c:ser>
          <c:idx val="1"/>
          <c:order val="1"/>
          <c:tx>
            <c:strRef>
              <c:f>Sheet2!$A$15</c:f>
            </c:strRef>
          </c:tx>
          <c:spPr>
            <a:solidFill>
              <a:srgbClr val="72BA93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Sheet2!$B$15:$E$15</c:f>
              <c:numCache/>
            </c:numRef>
          </c:val>
        </c:ser>
        <c:ser>
          <c:idx val="2"/>
          <c:order val="2"/>
          <c:tx>
            <c:strRef>
              <c:f>Sheet2!$A$17</c:f>
            </c:strRef>
          </c:tx>
          <c:spPr>
            <a:solidFill>
              <a:srgbClr val="E5996B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Sheet2!$B$17:$E$17</c:f>
              <c:numCache/>
            </c:numRef>
          </c:val>
        </c:ser>
        <c:ser>
          <c:idx val="3"/>
          <c:order val="3"/>
          <c:tx>
            <c:strRef>
              <c:f>Sheet2!$A$19</c:f>
            </c:strRef>
          </c:tx>
          <c:spPr>
            <a:solidFill>
              <a:srgbClr val="FF8799"/>
            </a:solidFill>
            <a:ln cmpd="sng">
              <a:solidFill>
                <a:srgbClr val="000000"/>
              </a:solidFill>
            </a:ln>
          </c:spPr>
          <c:cat>
            <c:strRef>
              <c:f>Sheet2!$B$1:$E$1</c:f>
            </c:strRef>
          </c:cat>
          <c:val>
            <c:numRef>
              <c:f>Sheet2!$B$19:$E$19</c:f>
              <c:numCache/>
            </c:numRef>
          </c:val>
        </c:ser>
        <c:axId val="1080069332"/>
        <c:axId val="581791704"/>
      </c:barChart>
      <c:catAx>
        <c:axId val="1080069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791704"/>
      </c:catAx>
      <c:valAx>
        <c:axId val="581791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0693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762500" cy="2857500"/>
    <xdr:graphicFrame>
      <xdr:nvGraphicFramePr>
        <xdr:cNvPr id="1" name="Chart 1" title="Figure 1: Liquidity Rati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133350</xdr:colOff>
      <xdr:row>26</xdr:row>
      <xdr:rowOff>0</xdr:rowOff>
    </xdr:from>
    <xdr:ext cx="4762500" cy="2857500"/>
    <xdr:graphicFrame>
      <xdr:nvGraphicFramePr>
        <xdr:cNvPr id="2" name="Chart 2" title="Figure 2: Solvency Rati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0</xdr:rowOff>
    </xdr:from>
    <xdr:ext cx="4762500" cy="2857500"/>
    <xdr:graphicFrame>
      <xdr:nvGraphicFramePr>
        <xdr:cNvPr id="3" name="Chart 3" title="Figure 3: Profitability Rati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133350</xdr:colOff>
      <xdr:row>42</xdr:row>
      <xdr:rowOff>0</xdr:rowOff>
    </xdr:from>
    <xdr:ext cx="4762500" cy="2857500"/>
    <xdr:graphicFrame>
      <xdr:nvGraphicFramePr>
        <xdr:cNvPr id="4" name="Chart 4" title="Figure 4: Activity Ratios (Day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E15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18:E25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7:E35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8:E41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43:E48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A50:E61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A2:E25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3:I15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3-style" showColumnStripes="0" showFirstColumn="1" showLastColumn="1" showRowStripes="1"/>
</table>
</file>

<file path=xl/tables/table9.xml><?xml version="1.0" encoding="utf-8"?>
<table xmlns="http://schemas.openxmlformats.org/spreadsheetml/2006/main" headerRowCount="0" ref="A18:E25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3-style 2" showColumnStripes="0" showFirstColumn="1" showLastColumn="1" showRowStripes="1"/>
</table>
</file>

<file path=xl/tables/table10.xml><?xml version="1.0" encoding="utf-8"?>
<table xmlns="http://schemas.openxmlformats.org/spreadsheetml/2006/main" headerRowCount="0" ref="A27:E35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3-style 3" showColumnStripes="0" showFirstColumn="1" showLastColumn="1" showRowStripes="1"/>
</table>
</file>

<file path=xl/tables/table11.xml><?xml version="1.0" encoding="utf-8"?>
<table xmlns="http://schemas.openxmlformats.org/spreadsheetml/2006/main" headerRowCount="0" ref="A38:E41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3-style 4" showColumnStripes="0" showFirstColumn="1" showLastColumn="1" showRowStripes="1"/>
</table>
</file>

<file path=xl/tables/table12.xml><?xml version="1.0" encoding="utf-8"?>
<table xmlns="http://schemas.openxmlformats.org/spreadsheetml/2006/main" headerRowCount="0" ref="A43:E48" displayName="Table_12" name="Table_12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3-style 5" showColumnStripes="0" showFirstColumn="1" showLastColumn="1" showRowStripes="1"/>
</table>
</file>

<file path=xl/tables/table13.xml><?xml version="1.0" encoding="utf-8"?>
<table xmlns="http://schemas.openxmlformats.org/spreadsheetml/2006/main" headerRowCount="0" ref="A50:E61" displayName="Table_13" name="Table_13" id="13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3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13" Type="http://schemas.openxmlformats.org/officeDocument/2006/relationships/table" Target="../tables/table13.xml"/><Relationship Id="rId12" Type="http://schemas.openxmlformats.org/officeDocument/2006/relationships/table" Target="../tables/table12.xml"/><Relationship Id="rId9" Type="http://schemas.openxmlformats.org/officeDocument/2006/relationships/table" Target="../tables/table9.xml"/><Relationship Id="rId8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6</v>
      </c>
      <c r="B3" s="5">
        <v>1.432034758E9</v>
      </c>
      <c r="C3" s="5">
        <v>1.262480359E9</v>
      </c>
      <c r="D3" s="5">
        <v>1.652008725E9</v>
      </c>
      <c r="E3" s="5">
        <v>7.566414E9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7</v>
      </c>
      <c r="B4" s="5">
        <v>1.110758758E9</v>
      </c>
      <c r="C4" s="5">
        <v>1.002413228E9</v>
      </c>
      <c r="D4" s="5">
        <v>1.395658868E9</v>
      </c>
      <c r="E4" s="5">
        <v>5.415712E9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8</v>
      </c>
      <c r="B5" s="7">
        <v>3.21276E8</v>
      </c>
      <c r="C5" s="7">
        <v>2.60067131E8</v>
      </c>
      <c r="D5" s="7">
        <v>2.56349857E8</v>
      </c>
      <c r="E5" s="7">
        <v>2.150702E9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9</v>
      </c>
      <c r="B6" s="5">
        <v>2325510.0</v>
      </c>
      <c r="C6" s="5">
        <v>2260126.0</v>
      </c>
      <c r="D6" s="5">
        <v>9311897.0</v>
      </c>
      <c r="E6" s="5">
        <v>4.5877E7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10</v>
      </c>
      <c r="B7" s="5">
        <v>4.5320886E7</v>
      </c>
      <c r="C7" s="5">
        <v>4.926832E7</v>
      </c>
      <c r="D7" s="5">
        <v>5.7665328E7</v>
      </c>
      <c r="E7" s="5">
        <v>1.51889E8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11</v>
      </c>
      <c r="B8" s="5">
        <v>3.5340012E7</v>
      </c>
      <c r="C8" s="5">
        <v>1.8390427E7</v>
      </c>
      <c r="D8" s="5">
        <v>6484478.0</v>
      </c>
      <c r="E8" s="5">
        <v>2.69726E8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12</v>
      </c>
      <c r="B9" s="5">
        <v>9556857.0</v>
      </c>
      <c r="C9" s="5">
        <v>8724897.0</v>
      </c>
      <c r="D9" s="5">
        <v>6423943.0</v>
      </c>
      <c r="E9" s="5">
        <v>1.999167E9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13</v>
      </c>
      <c r="B10" s="7">
        <v>2.73629604E8</v>
      </c>
      <c r="C10" s="7">
        <v>2.08538685E8</v>
      </c>
      <c r="D10" s="7">
        <v>1.89372632E8</v>
      </c>
      <c r="E10" s="7">
        <v>1.68321E9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14</v>
      </c>
      <c r="B11" s="5">
        <v>4.0873518E7</v>
      </c>
      <c r="C11" s="5">
        <v>5.2225884E7</v>
      </c>
      <c r="D11" s="5">
        <v>3.7315642E7</v>
      </c>
      <c r="E11" s="5">
        <v>4.3032E7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15</v>
      </c>
      <c r="B12" s="5">
        <v>0.0</v>
      </c>
      <c r="C12" s="5">
        <v>0.0</v>
      </c>
      <c r="D12" s="5">
        <v>1.0920101E7</v>
      </c>
      <c r="E12" s="5">
        <v>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16</v>
      </c>
      <c r="B13" s="7">
        <v>2.06972931E8</v>
      </c>
      <c r="C13" s="7">
        <v>1.46647271E8</v>
      </c>
      <c r="D13" s="7">
        <v>1.41076354E8</v>
      </c>
      <c r="E13" s="7">
        <v>3.639345E9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17</v>
      </c>
      <c r="B14" s="5">
        <v>7.3602474E7</v>
      </c>
      <c r="C14" s="5">
        <v>3.5041646E7</v>
      </c>
      <c r="D14" s="5">
        <v>3.8362713E7</v>
      </c>
      <c r="E14" s="5">
        <v>1.082762E9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18</v>
      </c>
      <c r="B15" s="7">
        <v>1.33370457E8</v>
      </c>
      <c r="C15" s="7">
        <v>1.11605625E8</v>
      </c>
      <c r="D15" s="7">
        <v>1.02713641E8</v>
      </c>
      <c r="E15" s="7">
        <v>2.556583E9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19</v>
      </c>
      <c r="B16" s="3"/>
      <c r="C16" s="3"/>
      <c r="D16" s="3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20</v>
      </c>
      <c r="B17" s="9"/>
      <c r="C17" s="9"/>
      <c r="D17" s="9"/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21</v>
      </c>
      <c r="B18" s="5">
        <v>2.96802818E8</v>
      </c>
      <c r="C18" s="5">
        <v>2.76007874E8</v>
      </c>
      <c r="D18" s="5">
        <v>2.68353782E8</v>
      </c>
      <c r="E18" s="5">
        <v>3.425606E9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22</v>
      </c>
      <c r="B19" s="5">
        <v>0.0</v>
      </c>
      <c r="C19" s="5">
        <v>4085953.0</v>
      </c>
      <c r="D19" s="5">
        <v>3064465.0</v>
      </c>
      <c r="E19" s="5">
        <v>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23</v>
      </c>
      <c r="B20" s="5">
        <v>203270.0</v>
      </c>
      <c r="C20" s="5">
        <v>182942.0</v>
      </c>
      <c r="D20" s="5">
        <v>162222.0</v>
      </c>
      <c r="E20" s="5">
        <v>1755000.0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24</v>
      </c>
      <c r="B21" s="5">
        <v>0.0</v>
      </c>
      <c r="C21" s="5">
        <v>0.0</v>
      </c>
      <c r="D21" s="5">
        <v>0.0</v>
      </c>
      <c r="E21" s="5">
        <v>9.36658E8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25</v>
      </c>
      <c r="B22" s="5">
        <v>758006.0</v>
      </c>
      <c r="C22" s="5">
        <v>493546.0</v>
      </c>
      <c r="D22" s="5">
        <v>9.61346E7</v>
      </c>
      <c r="E22" s="5">
        <v>0.0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26</v>
      </c>
      <c r="B23" s="5">
        <v>23500.0</v>
      </c>
      <c r="C23" s="5">
        <v>23500.0</v>
      </c>
      <c r="D23" s="5">
        <v>23500.0</v>
      </c>
      <c r="E23" s="5">
        <v>5125000.0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27</v>
      </c>
      <c r="B24" s="5">
        <v>4.9303276E7</v>
      </c>
      <c r="C24" s="5">
        <v>4.3420333E7</v>
      </c>
      <c r="D24" s="5">
        <v>4.6141187E7</v>
      </c>
      <c r="E24" s="5">
        <v>0.0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28</v>
      </c>
      <c r="B25" s="7">
        <v>3.4709087E8</v>
      </c>
      <c r="C25" s="7">
        <v>3.24214148E8</v>
      </c>
      <c r="D25" s="7">
        <v>4.13879756E8</v>
      </c>
      <c r="E25" s="7">
        <v>4.369144E9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 t="s">
        <v>29</v>
      </c>
      <c r="B26" s="9"/>
      <c r="C26" s="9"/>
      <c r="D26" s="9"/>
      <c r="E26" s="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30</v>
      </c>
      <c r="B27" s="5">
        <v>1.3462701E7</v>
      </c>
      <c r="C27" s="5">
        <v>1.5904146E7</v>
      </c>
      <c r="D27" s="5">
        <v>1.9408559E7</v>
      </c>
      <c r="E27" s="5">
        <v>3.58337E8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31</v>
      </c>
      <c r="B28" s="5">
        <v>2.5495768E7</v>
      </c>
      <c r="C28" s="5">
        <v>2.9610514E7</v>
      </c>
      <c r="D28" s="5">
        <v>2.1179019E7</v>
      </c>
      <c r="E28" s="5">
        <v>6.2238E7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32</v>
      </c>
      <c r="B29" s="5">
        <v>3.30208117E8</v>
      </c>
      <c r="C29" s="5">
        <v>3.47516161E8</v>
      </c>
      <c r="D29" s="5">
        <v>3.79613239E8</v>
      </c>
      <c r="E29" s="5">
        <v>1.66366E8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33</v>
      </c>
      <c r="B30" s="5">
        <v>3363051.0</v>
      </c>
      <c r="C30" s="5">
        <v>7554860.0</v>
      </c>
      <c r="D30" s="5">
        <v>2.0250726E7</v>
      </c>
      <c r="E30" s="5">
        <v>1.6205E8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34</v>
      </c>
      <c r="B31" s="5">
        <v>2701209.0</v>
      </c>
      <c r="C31" s="5">
        <v>3041634.0</v>
      </c>
      <c r="D31" s="5">
        <v>5333269.0</v>
      </c>
      <c r="E31" s="5">
        <v>3.27227E8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35</v>
      </c>
      <c r="B32" s="5">
        <v>0.0</v>
      </c>
      <c r="C32" s="5">
        <v>0.0</v>
      </c>
      <c r="D32" s="5">
        <v>0.0</v>
      </c>
      <c r="E32" s="5">
        <v>0.0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36</v>
      </c>
      <c r="B33" s="5">
        <v>6229916.0</v>
      </c>
      <c r="C33" s="5">
        <v>3.0989741E7</v>
      </c>
      <c r="D33" s="5">
        <v>8.0724361E7</v>
      </c>
      <c r="E33" s="5">
        <v>0.0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">
        <v>37</v>
      </c>
      <c r="B34" s="5">
        <v>1.6431416E7</v>
      </c>
      <c r="C34" s="5">
        <v>4.6796567E7</v>
      </c>
      <c r="D34" s="5">
        <v>5.2709351E7</v>
      </c>
      <c r="E34" s="5">
        <v>4.069729E9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s">
        <v>38</v>
      </c>
      <c r="B35" s="7">
        <v>3.97892178E8</v>
      </c>
      <c r="C35" s="7">
        <v>4.81413623E8</v>
      </c>
      <c r="D35" s="7">
        <v>5.79218524E8</v>
      </c>
      <c r="E35" s="7">
        <v>5.145947E9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 t="s">
        <v>39</v>
      </c>
      <c r="B36" s="11">
        <v>7.44983048E8</v>
      </c>
      <c r="C36" s="11">
        <v>8.05627771E8</v>
      </c>
      <c r="D36" s="11">
        <v>9.9309828E8</v>
      </c>
      <c r="E36" s="11">
        <v>9.515091E9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 t="s">
        <v>40</v>
      </c>
      <c r="B37" s="9"/>
      <c r="C37" s="9"/>
      <c r="D37" s="9"/>
      <c r="E37" s="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">
        <v>41</v>
      </c>
      <c r="B38" s="5">
        <v>2.5E8</v>
      </c>
      <c r="C38" s="5">
        <v>2.5E8</v>
      </c>
      <c r="D38" s="5">
        <v>2.5E8</v>
      </c>
      <c r="E38" s="5">
        <v>8.47181E8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s">
        <v>42</v>
      </c>
      <c r="B39" s="5">
        <v>1.4728576E7</v>
      </c>
      <c r="C39" s="5">
        <v>1.4728576E7</v>
      </c>
      <c r="D39" s="5">
        <v>1.4728576E7</v>
      </c>
      <c r="E39" s="5">
        <v>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43</v>
      </c>
      <c r="B40" s="5">
        <v>9566086.0</v>
      </c>
      <c r="C40" s="5">
        <v>1.17665053E8</v>
      </c>
      <c r="D40" s="5">
        <v>1.79531522E8</v>
      </c>
      <c r="E40" s="5">
        <v>5.85127E9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 t="s">
        <v>44</v>
      </c>
      <c r="B41" s="7">
        <v>2.74294662E8</v>
      </c>
      <c r="C41" s="7">
        <v>3.82393629E8</v>
      </c>
      <c r="D41" s="7">
        <v>4.44260098E8</v>
      </c>
      <c r="E41" s="7">
        <v>6.698451E9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 t="s">
        <v>45</v>
      </c>
      <c r="B42" s="9"/>
      <c r="C42" s="9"/>
      <c r="D42" s="9"/>
      <c r="E42" s="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s">
        <v>46</v>
      </c>
      <c r="B43" s="5">
        <v>9.2584308E7</v>
      </c>
      <c r="C43" s="5">
        <v>5.9304456E7</v>
      </c>
      <c r="D43" s="5">
        <v>9.7328102E7</v>
      </c>
      <c r="E43" s="5">
        <v>0.0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s">
        <v>26</v>
      </c>
      <c r="B44" s="5">
        <v>0.0</v>
      </c>
      <c r="C44" s="5">
        <v>0.0</v>
      </c>
      <c r="D44" s="5">
        <v>0.0</v>
      </c>
      <c r="E44" s="5">
        <v>3787000.0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s">
        <v>47</v>
      </c>
      <c r="B45" s="5">
        <v>0.0</v>
      </c>
      <c r="C45" s="5">
        <v>3771145.0</v>
      </c>
      <c r="D45" s="5">
        <v>2809694.0</v>
      </c>
      <c r="E45" s="5">
        <v>0.0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s">
        <v>48</v>
      </c>
      <c r="B46" s="5">
        <v>1.2611608E7</v>
      </c>
      <c r="C46" s="5">
        <v>2.3225644E7</v>
      </c>
      <c r="D46" s="5">
        <v>2.9730996E7</v>
      </c>
      <c r="E46" s="5">
        <v>0.0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s">
        <v>49</v>
      </c>
      <c r="B47" s="5">
        <v>0.0</v>
      </c>
      <c r="C47" s="5">
        <v>0.0</v>
      </c>
      <c r="D47" s="5">
        <v>0.0</v>
      </c>
      <c r="E47" s="5">
        <v>6.80109E8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 t="s">
        <v>50</v>
      </c>
      <c r="B48" s="7">
        <v>1.05195916E8</v>
      </c>
      <c r="C48" s="7">
        <v>8.6301245E7</v>
      </c>
      <c r="D48" s="7">
        <v>1.29868792E8</v>
      </c>
      <c r="E48" s="7">
        <v>6.83896E8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 t="s">
        <v>51</v>
      </c>
      <c r="B49" s="9"/>
      <c r="C49" s="9"/>
      <c r="D49" s="9"/>
      <c r="E49" s="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 t="s">
        <v>52</v>
      </c>
      <c r="B50" s="5">
        <v>2.17115922E8</v>
      </c>
      <c r="C50" s="5">
        <v>1.91651678E8</v>
      </c>
      <c r="D50" s="5">
        <v>3.03901223E8</v>
      </c>
      <c r="E50" s="5">
        <v>1.34914E9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s">
        <v>53</v>
      </c>
      <c r="B51" s="5">
        <v>3.6022325E7</v>
      </c>
      <c r="C51" s="5">
        <v>8925935.0</v>
      </c>
      <c r="D51" s="5">
        <v>1.7219871E7</v>
      </c>
      <c r="E51" s="5">
        <v>0.0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s">
        <v>54</v>
      </c>
      <c r="B52" s="5">
        <v>1.9563955E7</v>
      </c>
      <c r="C52" s="5">
        <v>2.3392865E7</v>
      </c>
      <c r="D52" s="5">
        <v>4.3584513E7</v>
      </c>
      <c r="E52" s="5">
        <v>0.0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s">
        <v>55</v>
      </c>
      <c r="B53" s="5">
        <v>0.0</v>
      </c>
      <c r="C53" s="5">
        <v>750486.0</v>
      </c>
      <c r="D53" s="5">
        <v>961451.0</v>
      </c>
      <c r="E53" s="5">
        <v>0.0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s">
        <v>56</v>
      </c>
      <c r="B54" s="5">
        <v>0.0</v>
      </c>
      <c r="C54" s="5">
        <v>0.0</v>
      </c>
      <c r="D54" s="5">
        <v>0.0</v>
      </c>
      <c r="E54" s="5">
        <v>1.97856E8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s">
        <v>57</v>
      </c>
      <c r="B55" s="5">
        <v>8.7E7</v>
      </c>
      <c r="C55" s="5">
        <v>8.7E7</v>
      </c>
      <c r="D55" s="5">
        <v>5.1941102E7</v>
      </c>
      <c r="E55" s="5">
        <v>0.0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s">
        <v>58</v>
      </c>
      <c r="B56" s="5">
        <v>0.0</v>
      </c>
      <c r="C56" s="5">
        <v>0.0</v>
      </c>
      <c r="D56" s="5">
        <v>300213.0</v>
      </c>
      <c r="E56" s="5">
        <v>1.0556E7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s">
        <v>59</v>
      </c>
      <c r="B57" s="5">
        <v>5790268.0</v>
      </c>
      <c r="C57" s="5">
        <v>2.5211933E7</v>
      </c>
      <c r="D57" s="5">
        <v>1061017.0</v>
      </c>
      <c r="E57" s="5">
        <v>8937000.0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s">
        <v>17</v>
      </c>
      <c r="B58" s="5">
        <v>0.0</v>
      </c>
      <c r="C58" s="5">
        <v>0.0</v>
      </c>
      <c r="D58" s="5">
        <v>0.0</v>
      </c>
      <c r="E58" s="5">
        <v>5.66255E8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 t="s">
        <v>60</v>
      </c>
      <c r="B59" s="7">
        <v>3.6549247E8</v>
      </c>
      <c r="C59" s="7">
        <v>3.36932897E8</v>
      </c>
      <c r="D59" s="7">
        <v>4.1896939E8</v>
      </c>
      <c r="E59" s="7">
        <v>2.132744E9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6" t="s">
        <v>61</v>
      </c>
      <c r="B60" s="7">
        <v>4.70688386E8</v>
      </c>
      <c r="C60" s="7">
        <v>4.23234142E8</v>
      </c>
      <c r="D60" s="7">
        <v>5.48838182E8</v>
      </c>
      <c r="E60" s="7">
        <v>2.81664E9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 t="s">
        <v>62</v>
      </c>
      <c r="B61" s="7">
        <v>7.44983048E8</v>
      </c>
      <c r="C61" s="7">
        <v>8.05627771E8</v>
      </c>
      <c r="D61" s="7">
        <v>9.9309828E8</v>
      </c>
      <c r="E61" s="7">
        <v>9.515091E9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1.0"/>
    <col customWidth="1" min="3" max="3" width="10.13"/>
    <col customWidth="1" min="4" max="4" width="9.88"/>
    <col customWidth="1" min="5" max="5" width="18.5"/>
  </cols>
  <sheetData>
    <row r="1">
      <c r="A1" s="12" t="s">
        <v>63</v>
      </c>
      <c r="B1" s="12" t="s">
        <v>1</v>
      </c>
      <c r="C1" s="12" t="s">
        <v>2</v>
      </c>
      <c r="D1" s="12" t="s">
        <v>3</v>
      </c>
      <c r="E1" s="12" t="s">
        <v>4</v>
      </c>
      <c r="F1" s="13"/>
    </row>
    <row r="2">
      <c r="A2" s="12" t="s">
        <v>64</v>
      </c>
      <c r="B2" s="14"/>
      <c r="C2" s="14"/>
      <c r="D2" s="14"/>
      <c r="E2" s="14"/>
      <c r="F2" s="13"/>
    </row>
    <row r="3">
      <c r="A3" s="15" t="s">
        <v>65</v>
      </c>
      <c r="B3" s="16">
        <f>sheet1!B35 / sheet1!B59</f>
        <v>1.088646718</v>
      </c>
      <c r="C3" s="17">
        <f>sheet1!C35 / sheet1!C59</f>
        <v>1.428811574</v>
      </c>
      <c r="D3" s="17">
        <f>sheet1!D35 / sheet1!D59</f>
        <v>1.382484109</v>
      </c>
      <c r="E3" s="17">
        <f>sheet1!E35 / sheet1!E59</f>
        <v>2.4128292</v>
      </c>
      <c r="F3" s="18"/>
    </row>
    <row r="4">
      <c r="A4" s="15" t="s">
        <v>66</v>
      </c>
      <c r="B4" s="16">
        <f>(sheet1!B35 - sheet1!B28) / sheet1!B59</f>
        <v>1.018889418</v>
      </c>
      <c r="C4" s="17">
        <f>(sheet1!C35 - sheet1!C28) / sheet1!C59</f>
        <v>1.340929049</v>
      </c>
      <c r="D4" s="17">
        <f>(sheet1!D35 - sheet1!D28) / sheet1!D59</f>
        <v>1.331933832</v>
      </c>
      <c r="E4" s="17">
        <f>(sheet1!E35 - sheet1!E28) / sheet1!E59</f>
        <v>2.383647076</v>
      </c>
      <c r="F4" s="18"/>
    </row>
    <row r="5">
      <c r="A5" s="12" t="s">
        <v>67</v>
      </c>
      <c r="B5" s="19"/>
      <c r="C5" s="19"/>
      <c r="D5" s="19"/>
      <c r="E5" s="19"/>
      <c r="F5" s="13"/>
    </row>
    <row r="6">
      <c r="A6" s="15" t="s">
        <v>68</v>
      </c>
      <c r="B6" s="20">
        <f>sheet1!B60 / sheet1!B41</f>
        <v>1.715995428</v>
      </c>
      <c r="C6" s="21">
        <f>sheet1!C60 / sheet1!C41</f>
        <v>1.106802284</v>
      </c>
      <c r="D6" s="21">
        <f>sheet1!D60 / sheet1!D41</f>
        <v>1.235398327</v>
      </c>
      <c r="E6" s="21">
        <f>sheet1!E60 / sheet1!E41</f>
        <v>0.4204912449</v>
      </c>
      <c r="F6" s="22"/>
    </row>
    <row r="7">
      <c r="A7" s="15" t="s">
        <v>69</v>
      </c>
      <c r="B7" s="20">
        <f>sheet1!B60 / sheet1!B36</f>
        <v>0.6318108677</v>
      </c>
      <c r="C7" s="21">
        <f>sheet1!C60 / sheet1!C36</f>
        <v>0.5253470117</v>
      </c>
      <c r="D7" s="21">
        <f>sheet1!D60 / sheet1!D36</f>
        <v>0.5526524344</v>
      </c>
      <c r="E7" s="21">
        <f>sheet1!E60 / sheet1!E36</f>
        <v>0.2960181884</v>
      </c>
      <c r="F7" s="22"/>
    </row>
    <row r="8">
      <c r="A8" s="15" t="s">
        <v>70</v>
      </c>
      <c r="B8" s="20">
        <f>sheet1!B43 / (sheet1!B43 + sheet1!B41)</f>
        <v>0.2523565415</v>
      </c>
      <c r="C8" s="21">
        <f>sheet1!C43 / (sheet1!C43 + sheet1!C41)</f>
        <v>0.134264689</v>
      </c>
      <c r="D8" s="21">
        <f>sheet1!D43 / (sheet1!D43 + sheet1!D41)</f>
        <v>0.1797086827</v>
      </c>
      <c r="E8" s="21">
        <f>sheet1!E43 / (sheet1!E43 + sheet1!E41)</f>
        <v>0</v>
      </c>
      <c r="F8" s="22"/>
    </row>
    <row r="9">
      <c r="A9" s="12" t="s">
        <v>71</v>
      </c>
      <c r="B9" s="14"/>
      <c r="C9" s="14"/>
      <c r="D9" s="14"/>
      <c r="E9" s="14"/>
      <c r="F9" s="13"/>
    </row>
    <row r="10">
      <c r="A10" s="15" t="s">
        <v>72</v>
      </c>
      <c r="B10" s="16">
        <f>sheet1!B10 / sheet1!B11</f>
        <v>6.694544962</v>
      </c>
      <c r="C10" s="17">
        <f>sheet1!C10 / sheet1!C11</f>
        <v>3.993013981</v>
      </c>
      <c r="D10" s="17">
        <f>sheet1!D10 / sheet1!D11</f>
        <v>5.074886076</v>
      </c>
      <c r="E10" s="17">
        <f>sheet1!E10 / sheet1!E11</f>
        <v>39.11530954</v>
      </c>
      <c r="F10" s="18"/>
    </row>
    <row r="11">
      <c r="A11" s="12" t="s">
        <v>73</v>
      </c>
      <c r="B11" s="19"/>
      <c r="C11" s="19"/>
      <c r="D11" s="19"/>
      <c r="E11" s="19"/>
      <c r="F11" s="13"/>
    </row>
    <row r="12">
      <c r="A12" s="15" t="s">
        <v>74</v>
      </c>
      <c r="B12" s="16">
        <f>sheet1!B3 / sheet1!B29</f>
        <v>4.336764253</v>
      </c>
      <c r="C12" s="17">
        <f>sheet1!C3 / sheet1!C29</f>
        <v>3.632868052</v>
      </c>
      <c r="D12" s="17">
        <f>sheet1!D3 / sheet1!D29</f>
        <v>4.35182063</v>
      </c>
      <c r="E12" s="17">
        <f>sheet1!E3 / sheet1!E29</f>
        <v>45.48053088</v>
      </c>
      <c r="F12" s="18"/>
    </row>
    <row r="13">
      <c r="A13" s="15" t="s">
        <v>75</v>
      </c>
      <c r="B13" s="23">
        <f t="shared" ref="B13:E13" si="1">365 / B12</f>
        <v>84.16413221</v>
      </c>
      <c r="C13" s="24">
        <f t="shared" si="1"/>
        <v>100.4715819</v>
      </c>
      <c r="D13" s="24">
        <f t="shared" si="1"/>
        <v>83.87294216</v>
      </c>
      <c r="E13" s="24">
        <f t="shared" si="1"/>
        <v>8.025412038</v>
      </c>
      <c r="F13" s="18"/>
    </row>
    <row r="14">
      <c r="A14" s="15" t="s">
        <v>76</v>
      </c>
      <c r="B14" s="16">
        <f>sheet1!B4 / sheet1!B50</f>
        <v>5.115970988</v>
      </c>
      <c r="C14" s="17">
        <f>sheet1!C4 / sheet1!C50</f>
        <v>5.230391085</v>
      </c>
      <c r="D14" s="17">
        <f>sheet1!D4 / sheet1!D50</f>
        <v>4.592475325</v>
      </c>
      <c r="E14" s="17">
        <f>sheet1!E4 / sheet1!E50</f>
        <v>4.01419571</v>
      </c>
      <c r="F14" s="18"/>
    </row>
    <row r="15">
      <c r="A15" s="15" t="s">
        <v>77</v>
      </c>
      <c r="B15" s="23">
        <f t="shared" ref="B15:E15" si="2">365 / B14</f>
        <v>71.34520521</v>
      </c>
      <c r="C15" s="24">
        <f t="shared" si="2"/>
        <v>69.78445667</v>
      </c>
      <c r="D15" s="24">
        <f t="shared" si="2"/>
        <v>79.47783584</v>
      </c>
      <c r="E15" s="24">
        <f t="shared" si="2"/>
        <v>90.92730559</v>
      </c>
      <c r="F15" s="18"/>
    </row>
    <row r="16">
      <c r="A16" s="15" t="s">
        <v>78</v>
      </c>
      <c r="B16" s="16">
        <f>sheet1!B4 / sheet1!B28</f>
        <v>43.56639729</v>
      </c>
      <c r="C16" s="17">
        <f>sheet1!C4 / sheet1!C28</f>
        <v>33.85328698</v>
      </c>
      <c r="D16" s="17">
        <f>sheet1!D4 / sheet1!D28</f>
        <v>65.89818291</v>
      </c>
      <c r="E16" s="17">
        <f>sheet1!E4 / sheet1!E28</f>
        <v>87.01616376</v>
      </c>
      <c r="F16" s="18"/>
    </row>
    <row r="17">
      <c r="A17" s="15" t="s">
        <v>79</v>
      </c>
      <c r="B17" s="23">
        <f t="shared" ref="B17:E17" si="3">365 / B16</f>
        <v>8.378016606</v>
      </c>
      <c r="C17" s="24">
        <f t="shared" si="3"/>
        <v>10.78181862</v>
      </c>
      <c r="D17" s="24">
        <f t="shared" si="3"/>
        <v>5.538847717</v>
      </c>
      <c r="E17" s="24">
        <f t="shared" si="3"/>
        <v>4.194622978</v>
      </c>
      <c r="F17" s="18"/>
    </row>
    <row r="18">
      <c r="A18" s="15" t="s">
        <v>80</v>
      </c>
      <c r="B18" s="23">
        <f t="shared" ref="B18:E18" si="4">B17 + B13</f>
        <v>92.54214882</v>
      </c>
      <c r="C18" s="24">
        <f t="shared" si="4"/>
        <v>111.2534005</v>
      </c>
      <c r="D18" s="24">
        <f t="shared" si="4"/>
        <v>89.41178987</v>
      </c>
      <c r="E18" s="24">
        <f t="shared" si="4"/>
        <v>12.22003502</v>
      </c>
      <c r="F18" s="18"/>
    </row>
    <row r="19">
      <c r="A19" s="15" t="s">
        <v>81</v>
      </c>
      <c r="B19" s="23">
        <f t="shared" ref="B19:E19" si="5">B18 - B15</f>
        <v>21.19694361</v>
      </c>
      <c r="C19" s="24">
        <f t="shared" si="5"/>
        <v>41.46894384</v>
      </c>
      <c r="D19" s="24">
        <f t="shared" si="5"/>
        <v>9.933954038</v>
      </c>
      <c r="E19" s="24">
        <f t="shared" si="5"/>
        <v>-78.70727057</v>
      </c>
      <c r="F19" s="18"/>
    </row>
    <row r="20">
      <c r="A20" s="15" t="s">
        <v>82</v>
      </c>
      <c r="B20" s="16">
        <f>sheet1!B3 / sheet1!B36</f>
        <v>1.922238045</v>
      </c>
      <c r="C20" s="17">
        <f>sheet1!C3 / sheet1!C36</f>
        <v>1.567076514</v>
      </c>
      <c r="D20" s="17">
        <f>sheet1!D3 / sheet1!D36</f>
        <v>1.663489665</v>
      </c>
      <c r="E20" s="17">
        <f>sheet1!E3 / sheet1!E36</f>
        <v>0.7952014332</v>
      </c>
      <c r="F20" s="18"/>
    </row>
    <row r="21">
      <c r="A21" s="12" t="s">
        <v>83</v>
      </c>
      <c r="B21" s="14"/>
      <c r="C21" s="14"/>
      <c r="D21" s="14"/>
      <c r="E21" s="14"/>
      <c r="F21" s="13"/>
    </row>
    <row r="22">
      <c r="A22" s="15" t="s">
        <v>84</v>
      </c>
      <c r="B22" s="20">
        <f>sheet1!B5 / sheet1!B3</f>
        <v>0.2243493031</v>
      </c>
      <c r="C22" s="21">
        <f>sheet1!C5 / sheet1!C3</f>
        <v>0.2059969719</v>
      </c>
      <c r="D22" s="21">
        <f>sheet1!D5 / sheet1!D3</f>
        <v>0.1551746387</v>
      </c>
      <c r="E22" s="21">
        <f>sheet1!E5 / sheet1!E3</f>
        <v>0.284243236</v>
      </c>
      <c r="F22" s="22"/>
    </row>
    <row r="23">
      <c r="A23" s="15" t="s">
        <v>85</v>
      </c>
      <c r="B23" s="20">
        <f>sheet1!B15 / sheet1!B3</f>
        <v>0.09313353343</v>
      </c>
      <c r="C23" s="21">
        <f>sheet1!C15 / sheet1!C3</f>
        <v>0.08840187034</v>
      </c>
      <c r="D23" s="21">
        <f>sheet1!D15 / sheet1!D3</f>
        <v>0.06217499911</v>
      </c>
      <c r="E23" s="21">
        <f>sheet1!E15 / sheet1!E3</f>
        <v>0.337885688</v>
      </c>
      <c r="F23" s="22"/>
    </row>
    <row r="24">
      <c r="A24" s="15" t="s">
        <v>86</v>
      </c>
      <c r="B24" s="20">
        <f>sheet1!B15 / sheet1!B36</f>
        <v>0.1790248212</v>
      </c>
      <c r="C24" s="21">
        <f>sheet1!C15 / sheet1!C36</f>
        <v>0.1385324948</v>
      </c>
      <c r="D24" s="21">
        <f>sheet1!D15 / sheet1!D36</f>
        <v>0.1034274684</v>
      </c>
      <c r="E24" s="21">
        <f>sheet1!E15 / sheet1!E36</f>
        <v>0.2686871833</v>
      </c>
      <c r="F24" s="22"/>
    </row>
    <row r="25">
      <c r="A25" s="15" t="s">
        <v>87</v>
      </c>
      <c r="B25" s="20">
        <f>sheet1!B15 / sheet1!B41</f>
        <v>0.4862305961</v>
      </c>
      <c r="C25" s="21">
        <f>sheet1!C15 / sheet1!C41</f>
        <v>0.2918605765</v>
      </c>
      <c r="D25" s="21">
        <f>sheet1!D15 / sheet1!D41</f>
        <v>0.2312015899</v>
      </c>
      <c r="E25" s="21">
        <f>sheet1!E15 / sheet1!E41</f>
        <v>0.3816677916</v>
      </c>
      <c r="F25" s="2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8.5"/>
    <col customWidth="1" min="3" max="3" width="18.88"/>
    <col customWidth="1" min="4" max="4" width="19.75"/>
    <col customWidth="1" min="5" max="5" width="19.13"/>
    <col customWidth="1" min="7" max="7" width="17.0"/>
    <col customWidth="1" min="8" max="8" width="15.63"/>
    <col customWidth="1" min="9" max="9" width="16.38"/>
  </cols>
  <sheetData>
    <row r="1">
      <c r="A1" s="25" t="s">
        <v>0</v>
      </c>
      <c r="B1" s="26" t="s">
        <v>88</v>
      </c>
      <c r="C1" s="26" t="s">
        <v>89</v>
      </c>
      <c r="D1" s="26" t="s">
        <v>90</v>
      </c>
      <c r="E1" s="26"/>
      <c r="F1" s="27"/>
      <c r="G1" s="26" t="s">
        <v>91</v>
      </c>
      <c r="H1" s="26" t="s">
        <v>92</v>
      </c>
      <c r="I1" s="26" t="s">
        <v>93</v>
      </c>
    </row>
    <row r="2">
      <c r="A2" s="1" t="s">
        <v>5</v>
      </c>
    </row>
    <row r="3">
      <c r="A3" s="4" t="s">
        <v>6</v>
      </c>
      <c r="B3" s="28">
        <f>sheet1!B3/sheet1!B$3</f>
        <v>1</v>
      </c>
      <c r="C3" s="28">
        <f>sheet1!C3/sheet1!C$3</f>
        <v>1</v>
      </c>
      <c r="D3" s="28">
        <f>sheet1!D3/sheet1!D$3</f>
        <v>1</v>
      </c>
      <c r="E3" s="28"/>
      <c r="F3" s="29"/>
      <c r="G3" s="28">
        <f>sheet1!B3/sheet1!$B3</f>
        <v>1</v>
      </c>
      <c r="H3" s="28">
        <f>sheet1!C3/sheet1!$B3</f>
        <v>0.881598964</v>
      </c>
      <c r="I3" s="28">
        <f>sheet1!D3/sheet1!$B3</f>
        <v>1.153609377</v>
      </c>
    </row>
    <row r="4">
      <c r="A4" s="4" t="s">
        <v>7</v>
      </c>
      <c r="B4" s="28">
        <f>sheet1!B4/sheet1!B$3</f>
        <v>0.7756506969</v>
      </c>
      <c r="C4" s="28">
        <f>sheet1!C4/sheet1!C$3</f>
        <v>0.7940030281</v>
      </c>
      <c r="D4" s="28">
        <f>sheet1!D4/sheet1!D$3</f>
        <v>0.8448253613</v>
      </c>
      <c r="E4" s="28"/>
      <c r="F4" s="29"/>
      <c r="G4" s="28">
        <f>sheet1!B4/sheet1!$B4</f>
        <v>1</v>
      </c>
      <c r="H4" s="28">
        <f>sheet1!C4/sheet1!$B4</f>
        <v>0.9024580907</v>
      </c>
      <c r="I4" s="28">
        <f>sheet1!D4/sheet1!$B4</f>
        <v>1.256491437</v>
      </c>
    </row>
    <row r="5">
      <c r="A5" s="6" t="s">
        <v>8</v>
      </c>
      <c r="B5" s="30">
        <f>sheet1!B5/sheet1!B$3</f>
        <v>0.2243493031</v>
      </c>
      <c r="C5" s="30">
        <f>sheet1!C5/sheet1!C$3</f>
        <v>0.2059969719</v>
      </c>
      <c r="D5" s="30">
        <f>sheet1!D5/sheet1!D$3</f>
        <v>0.1551746387</v>
      </c>
      <c r="E5" s="30"/>
      <c r="F5" s="31"/>
      <c r="G5" s="30">
        <f>sheet1!B5/sheet1!$B5</f>
        <v>1</v>
      </c>
      <c r="H5" s="30">
        <f>sheet1!C5/sheet1!$B5</f>
        <v>0.809481975</v>
      </c>
      <c r="I5" s="30">
        <f>sheet1!D5/sheet1!$B5</f>
        <v>0.7979116305</v>
      </c>
    </row>
    <row r="6">
      <c r="A6" s="4" t="s">
        <v>9</v>
      </c>
      <c r="B6" s="28">
        <f>sheet1!B6/sheet1!B$3</f>
        <v>0.001623920081</v>
      </c>
      <c r="C6" s="28">
        <f>sheet1!C6/sheet1!C$3</f>
        <v>0.001790226663</v>
      </c>
      <c r="D6" s="28">
        <f>sheet1!D6/sheet1!D$3</f>
        <v>0.005636711755</v>
      </c>
      <c r="E6" s="28"/>
      <c r="F6" s="29"/>
      <c r="G6" s="28">
        <f>sheet1!B6/sheet1!$B6</f>
        <v>1</v>
      </c>
      <c r="H6" s="28">
        <f>sheet1!C6/sheet1!$B6</f>
        <v>0.9718840168</v>
      </c>
      <c r="I6" s="28">
        <f>sheet1!D6/sheet1!$B6</f>
        <v>4.00423864</v>
      </c>
    </row>
    <row r="7">
      <c r="A7" s="4" t="s">
        <v>10</v>
      </c>
      <c r="B7" s="28">
        <f>sheet1!B7/sheet1!B$3</f>
        <v>0.03164789524</v>
      </c>
      <c r="C7" s="28">
        <f>sheet1!C7/sheet1!C$3</f>
        <v>0.039025019</v>
      </c>
      <c r="D7" s="28">
        <f>sheet1!D7/sheet1!D$3</f>
        <v>0.03490618853</v>
      </c>
      <c r="E7" s="28"/>
      <c r="F7" s="29"/>
      <c r="G7" s="28">
        <f>sheet1!B7/sheet1!$B7</f>
        <v>1</v>
      </c>
      <c r="H7" s="28">
        <f>sheet1!C7/sheet1!$B7</f>
        <v>1.087099665</v>
      </c>
      <c r="I7" s="28">
        <f>sheet1!D7/sheet1!$B7</f>
        <v>1.272378656</v>
      </c>
    </row>
    <row r="8">
      <c r="A8" s="4" t="s">
        <v>11</v>
      </c>
      <c r="B8" s="28">
        <f>sheet1!B8/sheet1!B$3</f>
        <v>0.02467818033</v>
      </c>
      <c r="C8" s="28">
        <f>sheet1!C8/sheet1!C$3</f>
        <v>0.01456690147</v>
      </c>
      <c r="D8" s="28">
        <f>sheet1!D8/sheet1!D$3</f>
        <v>0.003925208083</v>
      </c>
      <c r="E8" s="28"/>
      <c r="F8" s="29"/>
      <c r="G8" s="28">
        <f>sheet1!B8/sheet1!$B8</f>
        <v>1</v>
      </c>
      <c r="H8" s="28">
        <f>sheet1!C8/sheet1!$B8</f>
        <v>0.5203854204</v>
      </c>
      <c r="I8" s="28">
        <f>sheet1!D8/sheet1!$B8</f>
        <v>0.1834882795</v>
      </c>
    </row>
    <row r="9">
      <c r="A9" s="4" t="s">
        <v>12</v>
      </c>
      <c r="B9" s="28">
        <f>sheet1!B9/sheet1!B$3</f>
        <v>0.006673620837</v>
      </c>
      <c r="C9" s="28">
        <f>sheet1!C9/sheet1!C$3</f>
        <v>0.00691091702</v>
      </c>
      <c r="D9" s="28">
        <f>sheet1!D9/sheet1!D$3</f>
        <v>0.003888564814</v>
      </c>
      <c r="E9" s="28"/>
      <c r="F9" s="29"/>
      <c r="G9" s="28">
        <f>sheet1!B9/sheet1!$B9</f>
        <v>1</v>
      </c>
      <c r="H9" s="28">
        <f>sheet1!C9/sheet1!$B9</f>
        <v>0.9129462751</v>
      </c>
      <c r="I9" s="28">
        <f>sheet1!D9/sheet1!$B9</f>
        <v>0.6721815551</v>
      </c>
    </row>
    <row r="10">
      <c r="A10" s="6" t="s">
        <v>13</v>
      </c>
      <c r="B10" s="30">
        <f>sheet1!B10/sheet1!B$3</f>
        <v>0.1910774878</v>
      </c>
      <c r="C10" s="30">
        <f>sheet1!C10/sheet1!C$3</f>
        <v>0.1651817262</v>
      </c>
      <c r="D10" s="30">
        <f>sheet1!D10/sheet1!D$3</f>
        <v>0.1146317384</v>
      </c>
      <c r="E10" s="30"/>
      <c r="F10" s="31"/>
      <c r="G10" s="30">
        <f>sheet1!B10/sheet1!$B10</f>
        <v>1</v>
      </c>
      <c r="H10" s="30">
        <f>sheet1!C10/sheet1!$B10</f>
        <v>0.7621203333</v>
      </c>
      <c r="I10" s="30">
        <f>sheet1!D10/sheet1!$B10</f>
        <v>0.6920765489</v>
      </c>
    </row>
    <row r="11">
      <c r="A11" s="4" t="s">
        <v>14</v>
      </c>
      <c r="B11" s="28">
        <f>sheet1!B11/sheet1!B$3</f>
        <v>0.02854226671</v>
      </c>
      <c r="C11" s="28">
        <f>sheet1!C11/sheet1!C$3</f>
        <v>0.0413676804</v>
      </c>
      <c r="D11" s="28">
        <f>sheet1!D11/sheet1!D$3</f>
        <v>0.02258804172</v>
      </c>
      <c r="E11" s="28"/>
      <c r="F11" s="29"/>
      <c r="G11" s="28">
        <f>sheet1!B11/sheet1!$B11</f>
        <v>1</v>
      </c>
      <c r="H11" s="28">
        <f>sheet1!C11/sheet1!$B11</f>
        <v>1.277743795</v>
      </c>
      <c r="I11" s="28">
        <f>sheet1!D11/sheet1!$B11</f>
        <v>0.9129540061</v>
      </c>
    </row>
    <row r="12">
      <c r="A12" s="4" t="s">
        <v>15</v>
      </c>
      <c r="B12" s="28">
        <f>sheet1!B12/sheet1!B$3</f>
        <v>0</v>
      </c>
      <c r="C12" s="28">
        <f>sheet1!C12/sheet1!C$3</f>
        <v>0</v>
      </c>
      <c r="D12" s="28">
        <f>sheet1!D12/sheet1!D$3</f>
        <v>0.006610195718</v>
      </c>
      <c r="E12" s="28"/>
      <c r="F12" s="29"/>
      <c r="G12" s="28"/>
      <c r="H12" s="28"/>
      <c r="I12" s="28"/>
    </row>
    <row r="13">
      <c r="A13" s="6" t="s">
        <v>16</v>
      </c>
      <c r="B13" s="30">
        <f>sheet1!B13/sheet1!B$3</f>
        <v>0.1445306616</v>
      </c>
      <c r="C13" s="30">
        <f>sheet1!C13/sheet1!C$3</f>
        <v>0.1161580614</v>
      </c>
      <c r="D13" s="30">
        <f>sheet1!D13/sheet1!D$3</f>
        <v>0.0853968577</v>
      </c>
      <c r="E13" s="30"/>
      <c r="F13" s="31"/>
      <c r="G13" s="30">
        <f>sheet1!B13/sheet1!$B13</f>
        <v>1</v>
      </c>
      <c r="H13" s="30">
        <f>sheet1!C13/sheet1!$B13</f>
        <v>0.7085335763</v>
      </c>
      <c r="I13" s="30">
        <f>sheet1!D13/sheet1!$B13</f>
        <v>0.681617414</v>
      </c>
    </row>
    <row r="14">
      <c r="A14" s="4" t="s">
        <v>17</v>
      </c>
      <c r="B14" s="28">
        <f>sheet1!B14/sheet1!B$3</f>
        <v>0.05139712817</v>
      </c>
      <c r="C14" s="28">
        <f>sheet1!C14/sheet1!C$3</f>
        <v>0.02775619102</v>
      </c>
      <c r="D14" s="28">
        <f>sheet1!D14/sheet1!D$3</f>
        <v>0.02322185859</v>
      </c>
      <c r="E14" s="28"/>
      <c r="F14" s="29"/>
      <c r="G14" s="28">
        <f>sheet1!B14/sheet1!$B14</f>
        <v>1</v>
      </c>
      <c r="H14" s="28">
        <f>sheet1!C14/sheet1!$B14</f>
        <v>0.4760933172</v>
      </c>
      <c r="I14" s="28">
        <f>sheet1!D14/sheet1!$B14</f>
        <v>0.5212149934</v>
      </c>
    </row>
    <row r="15">
      <c r="A15" s="6" t="s">
        <v>18</v>
      </c>
      <c r="B15" s="30">
        <f>sheet1!B15/sheet1!B$3</f>
        <v>0.09313353343</v>
      </c>
      <c r="C15" s="30">
        <f>sheet1!C15/sheet1!C$3</f>
        <v>0.08840187034</v>
      </c>
      <c r="D15" s="30">
        <f>sheet1!D15/sheet1!D$3</f>
        <v>0.06217499911</v>
      </c>
      <c r="E15" s="30"/>
      <c r="F15" s="31"/>
      <c r="G15" s="30">
        <f>sheet1!B15/sheet1!$B15</f>
        <v>1</v>
      </c>
      <c r="H15" s="30">
        <f>sheet1!C15/sheet1!$B15</f>
        <v>0.8368091968</v>
      </c>
      <c r="I15" s="30">
        <f>sheet1!D15/sheet1!$B15</f>
        <v>0.7701378799</v>
      </c>
    </row>
    <row r="16">
      <c r="A16" s="1" t="s">
        <v>19</v>
      </c>
      <c r="B16" s="32"/>
      <c r="C16" s="32"/>
      <c r="D16" s="32"/>
      <c r="E16" s="32"/>
      <c r="G16" s="32"/>
      <c r="H16" s="32"/>
      <c r="I16" s="32"/>
    </row>
    <row r="17">
      <c r="A17" s="8" t="s">
        <v>20</v>
      </c>
      <c r="B17" s="32"/>
      <c r="C17" s="32"/>
      <c r="D17" s="32"/>
      <c r="E17" s="32"/>
      <c r="G17" s="32"/>
      <c r="H17" s="32"/>
      <c r="I17" s="32"/>
    </row>
    <row r="18">
      <c r="A18" s="4" t="s">
        <v>21</v>
      </c>
      <c r="B18" s="28">
        <f>sheet1!B18/sheet1!B$36</f>
        <v>0.3984021097</v>
      </c>
      <c r="C18" s="28">
        <f>sheet1!C18/sheet1!C$36</f>
        <v>0.3425997513</v>
      </c>
      <c r="D18" s="28">
        <f>sheet1!D18/sheet1!D$36</f>
        <v>0.2702187562</v>
      </c>
      <c r="E18" s="28"/>
      <c r="G18" s="32">
        <f>sheet1!B18/sheet1!$B18</f>
        <v>1</v>
      </c>
      <c r="H18" s="32">
        <f>sheet1!C18/sheet1!$B18</f>
        <v>0.9299368377</v>
      </c>
      <c r="I18" s="32">
        <f>sheet1!D18/sheet1!$B18</f>
        <v>0.9041483629</v>
      </c>
    </row>
    <row r="19">
      <c r="A19" s="4" t="s">
        <v>22</v>
      </c>
      <c r="B19" s="28">
        <f>sheet1!B19/sheet1!B$36</f>
        <v>0</v>
      </c>
      <c r="C19" s="28">
        <f>sheet1!C19/sheet1!C$36</f>
        <v>0.00507176285</v>
      </c>
      <c r="D19" s="28">
        <f>sheet1!D19/sheet1!D$36</f>
        <v>0.003085762066</v>
      </c>
      <c r="E19" s="28"/>
      <c r="G19" s="32"/>
      <c r="H19" s="32"/>
      <c r="I19" s="32"/>
    </row>
    <row r="20">
      <c r="A20" s="4" t="s">
        <v>23</v>
      </c>
      <c r="B20" s="28">
        <f>sheet1!B20/sheet1!B$36</f>
        <v>0.0002728518462</v>
      </c>
      <c r="C20" s="28">
        <f>sheet1!C20/sheet1!C$36</f>
        <v>0.0002270800568</v>
      </c>
      <c r="D20" s="28">
        <f>sheet1!D20/sheet1!D$36</f>
        <v>0.0001633493918</v>
      </c>
      <c r="E20" s="28"/>
      <c r="G20" s="32">
        <f>sheet1!B20/sheet1!$B20</f>
        <v>1</v>
      </c>
      <c r="H20" s="32">
        <f>sheet1!C20/sheet1!$B20</f>
        <v>0.8999950804</v>
      </c>
      <c r="I20" s="32">
        <f>sheet1!D20/sheet1!$B20</f>
        <v>0.7980616913</v>
      </c>
    </row>
    <row r="21">
      <c r="A21" s="4" t="s">
        <v>24</v>
      </c>
      <c r="B21" s="28">
        <f>sheet1!B21/sheet1!B$36</f>
        <v>0</v>
      </c>
      <c r="C21" s="28">
        <f>sheet1!C21/sheet1!C$36</f>
        <v>0</v>
      </c>
      <c r="D21" s="28">
        <f>sheet1!D21/sheet1!D$36</f>
        <v>0</v>
      </c>
      <c r="E21" s="28"/>
      <c r="G21" s="32"/>
      <c r="H21" s="32"/>
      <c r="I21" s="32"/>
    </row>
    <row r="22">
      <c r="A22" s="4" t="s">
        <v>25</v>
      </c>
      <c r="B22" s="28">
        <f>sheet1!B22/sheet1!B$36</f>
        <v>0.00101748087</v>
      </c>
      <c r="C22" s="28">
        <f>sheet1!C22/sheet1!C$36</f>
        <v>0.0006126228734</v>
      </c>
      <c r="D22" s="28">
        <f>sheet1!D22/sheet1!D$36</f>
        <v>0.09680270517</v>
      </c>
      <c r="E22" s="28"/>
      <c r="G22" s="32">
        <f>sheet1!B22/sheet1!$B22</f>
        <v>1</v>
      </c>
      <c r="H22" s="32">
        <f>sheet1!C22/sheet1!$B22</f>
        <v>0.6511109411</v>
      </c>
      <c r="I22" s="32">
        <f>sheet1!D22/sheet1!$B22</f>
        <v>126.8256452</v>
      </c>
    </row>
    <row r="23">
      <c r="A23" s="4" t="s">
        <v>26</v>
      </c>
      <c r="B23" s="28">
        <f>sheet1!B23/sheet1!B$36</f>
        <v>0.00003154434193</v>
      </c>
      <c r="C23" s="28">
        <f>sheet1!C23/sheet1!C$36</f>
        <v>0.00002916979882</v>
      </c>
      <c r="D23" s="28">
        <f>sheet1!D23/sheet1!D$36</f>
        <v>0.00002366331759</v>
      </c>
      <c r="E23" s="28"/>
      <c r="G23" s="32"/>
      <c r="H23" s="32"/>
      <c r="I23" s="32"/>
    </row>
    <row r="24">
      <c r="A24" s="4" t="s">
        <v>27</v>
      </c>
      <c r="B24" s="28">
        <f>sheet1!B24/sheet1!B$36</f>
        <v>0.06618039985</v>
      </c>
      <c r="C24" s="28">
        <f>sheet1!C24/sheet1!C$36</f>
        <v>0.05389627141</v>
      </c>
      <c r="D24" s="28">
        <f>sheet1!D24/sheet1!D$36</f>
        <v>0.0464618537</v>
      </c>
      <c r="E24" s="28"/>
      <c r="G24" s="32">
        <f>sheet1!B24/sheet1!$B24</f>
        <v>1</v>
      </c>
      <c r="H24" s="32">
        <f>sheet1!C24/sheet1!$B24</f>
        <v>0.8806784563</v>
      </c>
      <c r="I24" s="32">
        <f>sheet1!D24/sheet1!$B24</f>
        <v>0.9358645255</v>
      </c>
    </row>
    <row r="25">
      <c r="A25" s="6" t="s">
        <v>28</v>
      </c>
      <c r="B25" s="30">
        <f>sheet1!B25/sheet1!B$36</f>
        <v>0.4659043866</v>
      </c>
      <c r="C25" s="30">
        <f>sheet1!C25/sheet1!C$36</f>
        <v>0.4024366583</v>
      </c>
      <c r="D25" s="30">
        <f>sheet1!D25/sheet1!D$36</f>
        <v>0.4167560898</v>
      </c>
      <c r="E25" s="30"/>
      <c r="G25" s="32">
        <f>sheet1!B25/sheet1!$B25</f>
        <v>1</v>
      </c>
      <c r="H25" s="32">
        <f>sheet1!C25/sheet1!$B25</f>
        <v>0.9340901073</v>
      </c>
      <c r="I25" s="32">
        <f>sheet1!D25/sheet1!$B25</f>
        <v>1.192424785</v>
      </c>
    </row>
    <row r="26">
      <c r="A26" s="8" t="s">
        <v>29</v>
      </c>
      <c r="B26" s="32"/>
      <c r="C26" s="32"/>
      <c r="D26" s="32"/>
      <c r="E26" s="32"/>
      <c r="G26" s="32"/>
      <c r="H26" s="32"/>
      <c r="I26" s="32"/>
    </row>
    <row r="27">
      <c r="A27" s="4" t="s">
        <v>30</v>
      </c>
      <c r="B27" s="28">
        <f>sheet1!B27/sheet1!B$36</f>
        <v>0.01807115079</v>
      </c>
      <c r="C27" s="28">
        <f>sheet1!C27/sheet1!C$36</f>
        <v>0.01974130805</v>
      </c>
      <c r="D27" s="28">
        <f>sheet1!D27/sheet1!D$36</f>
        <v>0.01954344237</v>
      </c>
      <c r="E27" s="28"/>
      <c r="G27" s="32">
        <f>sheet1!B27/sheet1!$B27</f>
        <v>1</v>
      </c>
      <c r="H27" s="32">
        <f>sheet1!C27/sheet1!$B27</f>
        <v>1.181348824</v>
      </c>
      <c r="I27" s="32">
        <f>sheet1!D27/sheet1!$B27</f>
        <v>1.441654167</v>
      </c>
    </row>
    <row r="28">
      <c r="A28" s="4" t="s">
        <v>31</v>
      </c>
      <c r="B28" s="28">
        <f>sheet1!B28/sheet1!B$36</f>
        <v>0.03422328611</v>
      </c>
      <c r="C28" s="28">
        <f>sheet1!C28/sheet1!C$36</f>
        <v>0.03675458452</v>
      </c>
      <c r="D28" s="28">
        <f>sheet1!D28/sheet1!D$36</f>
        <v>0.02132620651</v>
      </c>
      <c r="E28" s="28"/>
      <c r="G28" s="32">
        <f>sheet1!B28/sheet1!$B28</f>
        <v>1</v>
      </c>
      <c r="H28" s="32">
        <f>sheet1!C28/sheet1!$B28</f>
        <v>1.161389373</v>
      </c>
      <c r="I28" s="32">
        <f>sheet1!D28/sheet1!$B28</f>
        <v>0.8306876263</v>
      </c>
    </row>
    <row r="29">
      <c r="A29" s="4" t="s">
        <v>32</v>
      </c>
      <c r="B29" s="28">
        <f>sheet1!B29/sheet1!B$36</f>
        <v>0.4432424575</v>
      </c>
      <c r="C29" s="28">
        <f>sheet1!C29/sheet1!C$36</f>
        <v>0.4313607022</v>
      </c>
      <c r="D29" s="28">
        <f>sheet1!D29/sheet1!D$36</f>
        <v>0.3822514313</v>
      </c>
      <c r="E29" s="28"/>
      <c r="G29" s="32">
        <f>sheet1!B29/sheet1!$B29</f>
        <v>1</v>
      </c>
      <c r="H29" s="32">
        <f>sheet1!C29/sheet1!$B29</f>
        <v>1.052415562</v>
      </c>
      <c r="I29" s="32">
        <f>sheet1!D29/sheet1!$B29</f>
        <v>1.149618133</v>
      </c>
    </row>
    <row r="30">
      <c r="A30" s="4" t="s">
        <v>33</v>
      </c>
      <c r="B30" s="28">
        <f>sheet1!B30/sheet1!B$36</f>
        <v>0.004514265135</v>
      </c>
      <c r="C30" s="28">
        <f>sheet1!C30/sheet1!C$36</f>
        <v>0.009377606225</v>
      </c>
      <c r="D30" s="28">
        <f>sheet1!D30/sheet1!D$36</f>
        <v>0.02039146216</v>
      </c>
      <c r="E30" s="28"/>
      <c r="G30" s="32">
        <f>sheet1!B30/sheet1!$B30</f>
        <v>1</v>
      </c>
      <c r="H30" s="32">
        <f>sheet1!C30/sheet1!$B30</f>
        <v>2.246430399</v>
      </c>
      <c r="I30" s="32">
        <f>sheet1!D30/sheet1!$B30</f>
        <v>6.021534018</v>
      </c>
    </row>
    <row r="31">
      <c r="A31" s="4" t="s">
        <v>34</v>
      </c>
      <c r="B31" s="28">
        <f>sheet1!B31/sheet1!B$36</f>
        <v>0.003625866397</v>
      </c>
      <c r="C31" s="28">
        <f>sheet1!C31/sheet1!C$36</f>
        <v>0.003775483057</v>
      </c>
      <c r="D31" s="28">
        <f>sheet1!D31/sheet1!D$36</f>
        <v>0.005370333538</v>
      </c>
      <c r="E31" s="28"/>
      <c r="G31" s="32">
        <f>sheet1!B31/sheet1!$B31</f>
        <v>1</v>
      </c>
      <c r="H31" s="32">
        <f>sheet1!C31/sheet1!$B31</f>
        <v>1.126026901</v>
      </c>
      <c r="I31" s="32">
        <f>sheet1!D31/sheet1!$B31</f>
        <v>1.974400722</v>
      </c>
    </row>
    <row r="32">
      <c r="A32" s="4" t="s">
        <v>35</v>
      </c>
      <c r="B32" s="28">
        <f>sheet1!B32/sheet1!B$36</f>
        <v>0</v>
      </c>
      <c r="C32" s="28">
        <f>sheet1!C32/sheet1!C$36</f>
        <v>0</v>
      </c>
      <c r="D32" s="28">
        <f>sheet1!D32/sheet1!D$36</f>
        <v>0</v>
      </c>
      <c r="E32" s="28"/>
      <c r="G32" s="32"/>
      <c r="H32" s="32"/>
      <c r="I32" s="32"/>
    </row>
    <row r="33">
      <c r="A33" s="4" t="s">
        <v>36</v>
      </c>
      <c r="B33" s="28">
        <f>sheet1!B33/sheet1!B$36</f>
        <v>0.008362493639</v>
      </c>
      <c r="C33" s="28">
        <f>sheet1!C33/sheet1!C$36</f>
        <v>0.03846657491</v>
      </c>
      <c r="D33" s="28">
        <f>sheet1!D33/sheet1!D$36</f>
        <v>0.08128536986</v>
      </c>
      <c r="E33" s="28"/>
      <c r="G33" s="32">
        <f>sheet1!B33/sheet1!$B33</f>
        <v>1</v>
      </c>
      <c r="H33" s="32">
        <f>sheet1!C33/sheet1!$B33</f>
        <v>4.974343314</v>
      </c>
      <c r="I33" s="32">
        <f>sheet1!D33/sheet1!$B33</f>
        <v>12.95753602</v>
      </c>
    </row>
    <row r="34">
      <c r="A34" s="4" t="s">
        <v>37</v>
      </c>
      <c r="B34" s="28">
        <f>sheet1!B34/sheet1!B$36</f>
        <v>0.02205609382</v>
      </c>
      <c r="C34" s="28">
        <f>sheet1!C34/sheet1!C$36</f>
        <v>0.05808708275</v>
      </c>
      <c r="D34" s="28">
        <f>sheet1!D34/sheet1!D$36</f>
        <v>0.05307566437</v>
      </c>
      <c r="E34" s="28"/>
      <c r="G34" s="32">
        <f>sheet1!B34/sheet1!$B34</f>
        <v>1</v>
      </c>
      <c r="H34" s="32">
        <f>sheet1!C34/sheet1!$B34</f>
        <v>2.847993563</v>
      </c>
      <c r="I34" s="32">
        <f>sheet1!D34/sheet1!$B34</f>
        <v>3.207839848</v>
      </c>
    </row>
    <row r="35">
      <c r="A35" s="6" t="s">
        <v>38</v>
      </c>
      <c r="B35" s="30">
        <f>sheet1!B35/sheet1!B$36</f>
        <v>0.5340956134</v>
      </c>
      <c r="C35" s="30">
        <f>sheet1!C35/sheet1!C$36</f>
        <v>0.5975633417</v>
      </c>
      <c r="D35" s="30">
        <f>sheet1!D35/sheet1!D$36</f>
        <v>0.5832439102</v>
      </c>
      <c r="E35" s="30"/>
      <c r="G35" s="32">
        <f>sheet1!B35/sheet1!$B35</f>
        <v>1</v>
      </c>
      <c r="H35" s="32">
        <f>sheet1!C35/sheet1!$B35</f>
        <v>1.209909743</v>
      </c>
      <c r="I35" s="32">
        <f>sheet1!D35/sheet1!$B35</f>
        <v>1.455717292</v>
      </c>
    </row>
    <row r="36">
      <c r="A36" s="10" t="s">
        <v>39</v>
      </c>
      <c r="B36" s="32">
        <f>sheet1!B36/sheet1!B$36</f>
        <v>1</v>
      </c>
      <c r="C36" s="32">
        <f>sheet1!C36/sheet1!C$36</f>
        <v>1</v>
      </c>
      <c r="D36" s="32">
        <f>sheet1!D36/sheet1!D$36</f>
        <v>1</v>
      </c>
      <c r="E36" s="32"/>
      <c r="G36" s="32">
        <f>sheet1!B36/sheet1!$B36</f>
        <v>1</v>
      </c>
      <c r="H36" s="32">
        <f>sheet1!C36/sheet1!$B36</f>
        <v>1.081404165</v>
      </c>
      <c r="I36" s="32">
        <f>sheet1!D36/sheet1!$B36</f>
        <v>1.333048158</v>
      </c>
    </row>
    <row r="37">
      <c r="A37" s="8" t="s">
        <v>40</v>
      </c>
      <c r="B37" s="32"/>
      <c r="C37" s="32"/>
      <c r="D37" s="32"/>
      <c r="E37" s="32"/>
      <c r="G37" s="32"/>
      <c r="H37" s="32"/>
      <c r="I37" s="32"/>
    </row>
    <row r="38">
      <c r="A38" s="4" t="s">
        <v>41</v>
      </c>
      <c r="B38" s="28">
        <f>sheet1!B38/sheet1!B$61</f>
        <v>0.3355781057</v>
      </c>
      <c r="C38" s="28">
        <f>sheet1!C38/sheet1!C$61</f>
        <v>0.3103170087</v>
      </c>
      <c r="D38" s="28">
        <f>sheet1!D38/sheet1!D$61</f>
        <v>0.2517374212</v>
      </c>
      <c r="E38" s="28"/>
      <c r="G38" s="32">
        <f>sheet1!B38/sheet1!$B38</f>
        <v>1</v>
      </c>
      <c r="H38" s="32">
        <f>sheet1!C38/sheet1!$B38</f>
        <v>1</v>
      </c>
      <c r="I38" s="32">
        <f>sheet1!D38/sheet1!$B38</f>
        <v>1</v>
      </c>
    </row>
    <row r="39">
      <c r="A39" s="4" t="s">
        <v>42</v>
      </c>
      <c r="B39" s="28">
        <f>sheet1!B39/sheet1!B$61</f>
        <v>0.01977035053</v>
      </c>
      <c r="C39" s="28">
        <f>sheet1!C39/sheet1!C$61</f>
        <v>0.01828211059</v>
      </c>
      <c r="D39" s="28">
        <f>sheet1!D39/sheet1!D$61</f>
        <v>0.01483093496</v>
      </c>
      <c r="E39" s="28"/>
      <c r="G39" s="32">
        <f>sheet1!B39/sheet1!$B39</f>
        <v>1</v>
      </c>
      <c r="H39" s="32">
        <f>sheet1!C39/sheet1!$B39</f>
        <v>1</v>
      </c>
      <c r="I39" s="32">
        <f>sheet1!D39/sheet1!$B39</f>
        <v>1</v>
      </c>
    </row>
    <row r="40">
      <c r="A40" s="4" t="s">
        <v>43</v>
      </c>
      <c r="B40" s="28">
        <f>sheet1!B40/sheet1!B$61</f>
        <v>0.01284067607</v>
      </c>
      <c r="C40" s="28">
        <f>sheet1!C40/sheet1!C$61</f>
        <v>0.1460538691</v>
      </c>
      <c r="D40" s="28">
        <f>sheet1!D40/sheet1!D$61</f>
        <v>0.1807792095</v>
      </c>
      <c r="E40" s="28"/>
      <c r="G40" s="32">
        <f>sheet1!B40/sheet1!$B40</f>
        <v>1</v>
      </c>
      <c r="H40" s="32">
        <f>sheet1!C40/sheet1!$B40</f>
        <v>12.30022948</v>
      </c>
      <c r="I40" s="32">
        <f>sheet1!D40/sheet1!$B40</f>
        <v>18.76750031</v>
      </c>
    </row>
    <row r="41">
      <c r="A41" s="6" t="s">
        <v>44</v>
      </c>
      <c r="B41" s="30">
        <f>sheet1!B41/sheet1!B$61</f>
        <v>0.3681891323</v>
      </c>
      <c r="C41" s="30">
        <f>sheet1!C41/sheet1!C$61</f>
        <v>0.4746529883</v>
      </c>
      <c r="D41" s="30">
        <f>sheet1!D41/sheet1!D$61</f>
        <v>0.4473475656</v>
      </c>
      <c r="E41" s="30"/>
      <c r="G41" s="32">
        <f>sheet1!B41/sheet1!$B41</f>
        <v>1</v>
      </c>
      <c r="H41" s="32">
        <f>sheet1!C41/sheet1!$B41</f>
        <v>1.394097961</v>
      </c>
      <c r="I41" s="32">
        <f>sheet1!D41/sheet1!$B41</f>
        <v>1.619645438</v>
      </c>
    </row>
    <row r="42">
      <c r="A42" s="8" t="s">
        <v>45</v>
      </c>
      <c r="B42" s="32"/>
      <c r="C42" s="32"/>
      <c r="D42" s="32"/>
      <c r="E42" s="32"/>
      <c r="G42" s="32"/>
      <c r="H42" s="32"/>
      <c r="I42" s="32"/>
    </row>
    <row r="43">
      <c r="A43" s="4" t="s">
        <v>46</v>
      </c>
      <c r="B43" s="28">
        <f>sheet1!B43/sheet1!B$61</f>
        <v>0.1242770668</v>
      </c>
      <c r="C43" s="28">
        <f>sheet1!C43/sheet1!C$61</f>
        <v>0.07361272555</v>
      </c>
      <c r="D43" s="28">
        <f>sheet1!D43/sheet1!D$61</f>
        <v>0.09800450163</v>
      </c>
      <c r="E43" s="28"/>
      <c r="G43" s="32">
        <f>sheet1!B43/sheet1!$B43</f>
        <v>1</v>
      </c>
      <c r="H43" s="32">
        <f>sheet1!C43/sheet1!$B43</f>
        <v>0.6405454367</v>
      </c>
      <c r="I43" s="32">
        <f>sheet1!D43/sheet1!$B43</f>
        <v>1.05123756</v>
      </c>
    </row>
    <row r="44">
      <c r="A44" s="4" t="s">
        <v>26</v>
      </c>
      <c r="B44" s="28">
        <f>sheet1!B44/sheet1!B$61</f>
        <v>0</v>
      </c>
      <c r="C44" s="28">
        <f>sheet1!C44/sheet1!C$61</f>
        <v>0</v>
      </c>
      <c r="D44" s="28">
        <f>sheet1!D44/sheet1!D$61</f>
        <v>0</v>
      </c>
      <c r="E44" s="28"/>
      <c r="G44" s="32"/>
      <c r="H44" s="32"/>
      <c r="I44" s="32"/>
    </row>
    <row r="45">
      <c r="A45" s="4" t="s">
        <v>47</v>
      </c>
      <c r="B45" s="28">
        <f>sheet1!B45/sheet1!B$61</f>
        <v>0</v>
      </c>
      <c r="C45" s="28">
        <f>sheet1!C45/sheet1!C$61</f>
        <v>0.004681001743</v>
      </c>
      <c r="D45" s="28">
        <f>sheet1!D45/sheet1!D$61</f>
        <v>0.002829220488</v>
      </c>
      <c r="E45" s="28"/>
      <c r="G45" s="32"/>
      <c r="H45" s="32"/>
      <c r="I45" s="32"/>
    </row>
    <row r="46">
      <c r="A46" s="4" t="s">
        <v>48</v>
      </c>
      <c r="B46" s="28">
        <f>sheet1!B46/sheet1!B$61</f>
        <v>0.01692871809</v>
      </c>
      <c r="C46" s="28">
        <f>sheet1!C46/sheet1!C$61</f>
        <v>0.02882924948</v>
      </c>
      <c r="D46" s="28">
        <f>sheet1!D46/sheet1!D$61</f>
        <v>0.02993761705</v>
      </c>
      <c r="E46" s="28"/>
      <c r="G46" s="32">
        <f>sheet1!B46/sheet1!$B46</f>
        <v>1</v>
      </c>
      <c r="H46" s="32">
        <f>sheet1!C46/sheet1!$B46</f>
        <v>1.841608461</v>
      </c>
      <c r="I46" s="32">
        <f>sheet1!D46/sheet1!$B46</f>
        <v>2.357431027</v>
      </c>
    </row>
    <row r="47">
      <c r="A47" s="4" t="s">
        <v>49</v>
      </c>
      <c r="B47" s="28">
        <f>sheet1!B47/sheet1!B$61</f>
        <v>0</v>
      </c>
      <c r="C47" s="28">
        <f>sheet1!C47/sheet1!C$61</f>
        <v>0</v>
      </c>
      <c r="D47" s="28">
        <f>sheet1!D47/sheet1!D$61</f>
        <v>0</v>
      </c>
      <c r="E47" s="28"/>
      <c r="G47" s="32"/>
      <c r="H47" s="32"/>
      <c r="I47" s="32"/>
    </row>
    <row r="48">
      <c r="A48" s="6" t="s">
        <v>50</v>
      </c>
      <c r="B48" s="30">
        <f>sheet1!B48/sheet1!B$61</f>
        <v>0.1412057849</v>
      </c>
      <c r="C48" s="30">
        <f>sheet1!C48/sheet1!C$61</f>
        <v>0.1071229768</v>
      </c>
      <c r="D48" s="30">
        <f>sheet1!D48/sheet1!D$61</f>
        <v>0.1307713392</v>
      </c>
      <c r="E48" s="30"/>
      <c r="G48" s="32">
        <f>sheet1!B48/sheet1!$B48</f>
        <v>1</v>
      </c>
      <c r="H48" s="32">
        <f>sheet1!C48/sheet1!$B48</f>
        <v>0.8203858884</v>
      </c>
      <c r="I48" s="32">
        <f>sheet1!D48/sheet1!$B48</f>
        <v>1.234542147</v>
      </c>
    </row>
    <row r="49">
      <c r="A49" s="8" t="s">
        <v>51</v>
      </c>
      <c r="B49" s="32"/>
      <c r="C49" s="32"/>
      <c r="D49" s="32"/>
      <c r="E49" s="32"/>
      <c r="G49" s="32"/>
      <c r="H49" s="32"/>
      <c r="I49" s="32"/>
    </row>
    <row r="50">
      <c r="A50" s="4" t="s">
        <v>52</v>
      </c>
      <c r="B50" s="28">
        <f>sheet1!B50/sheet1!B$61</f>
        <v>0.2914373993</v>
      </c>
      <c r="C50" s="28">
        <f>sheet1!C50/sheet1!C$61</f>
        <v>0.2378911017</v>
      </c>
      <c r="D50" s="28">
        <f>sheet1!D50/sheet1!D$61</f>
        <v>0.3060132407</v>
      </c>
      <c r="E50" s="28"/>
      <c r="G50" s="32">
        <f>sheet1!B50/sheet1!$B50</f>
        <v>1</v>
      </c>
      <c r="H50" s="32">
        <f>sheet1!C50/sheet1!$B50</f>
        <v>0.8827159069</v>
      </c>
      <c r="I50" s="32">
        <f>sheet1!D50/sheet1!$B50</f>
        <v>1.399718732</v>
      </c>
    </row>
    <row r="51">
      <c r="A51" s="4" t="s">
        <v>53</v>
      </c>
      <c r="B51" s="28">
        <f>sheet1!B51/sheet1!B$61</f>
        <v>0.04835321434</v>
      </c>
      <c r="C51" s="28">
        <f>sheet1!C51/sheet1!C$61</f>
        <v>0.0110794778</v>
      </c>
      <c r="D51" s="28">
        <f>sheet1!D51/sheet1!D$61</f>
        <v>0.01733954368</v>
      </c>
      <c r="E51" s="28"/>
      <c r="G51" s="32">
        <f>sheet1!B51/sheet1!$B51</f>
        <v>1</v>
      </c>
      <c r="H51" s="32">
        <f>sheet1!C51/sheet1!$B51</f>
        <v>0.2477889753</v>
      </c>
      <c r="I51" s="32">
        <f>sheet1!D51/sheet1!$B51</f>
        <v>0.478033303</v>
      </c>
    </row>
    <row r="52">
      <c r="A52" s="4" t="s">
        <v>54</v>
      </c>
      <c r="B52" s="28">
        <f>sheet1!B52/sheet1!B$61</f>
        <v>0.02626093983</v>
      </c>
      <c r="C52" s="28">
        <f>sheet1!C52/sheet1!C$61</f>
        <v>0.02903681556</v>
      </c>
      <c r="D52" s="28">
        <f>sheet1!D52/sheet1!D$61</f>
        <v>0.04388741163</v>
      </c>
      <c r="E52" s="28"/>
      <c r="G52" s="32">
        <f>sheet1!B52/sheet1!$B52</f>
        <v>1</v>
      </c>
      <c r="H52" s="32">
        <f>sheet1!C52/sheet1!$B52</f>
        <v>1.195712472</v>
      </c>
      <c r="I52" s="32">
        <f>sheet1!D52/sheet1!$B52</f>
        <v>2.227796629</v>
      </c>
    </row>
    <row r="53">
      <c r="A53" s="4" t="s">
        <v>55</v>
      </c>
      <c r="B53" s="28">
        <f>sheet1!B53/sheet1!B$61</f>
        <v>0</v>
      </c>
      <c r="C53" s="28">
        <f>sheet1!C53/sheet1!C$61</f>
        <v>0.0009315542823</v>
      </c>
      <c r="D53" s="28">
        <f>sheet1!D53/sheet1!D$61</f>
        <v>0.0009681327814</v>
      </c>
      <c r="E53" s="28"/>
      <c r="G53" s="32"/>
      <c r="H53" s="32"/>
      <c r="I53" s="32"/>
    </row>
    <row r="54">
      <c r="A54" s="4" t="s">
        <v>56</v>
      </c>
      <c r="B54" s="28">
        <f>sheet1!B54/sheet1!B$61</f>
        <v>0</v>
      </c>
      <c r="C54" s="28">
        <f>sheet1!C54/sheet1!C$61</f>
        <v>0</v>
      </c>
      <c r="D54" s="28">
        <f>sheet1!D54/sheet1!D$61</f>
        <v>0</v>
      </c>
      <c r="E54" s="28"/>
      <c r="G54" s="32"/>
      <c r="H54" s="32"/>
      <c r="I54" s="32"/>
    </row>
    <row r="55">
      <c r="A55" s="4" t="s">
        <v>57</v>
      </c>
      <c r="B55" s="28">
        <f>sheet1!B55/sheet1!B$61</f>
        <v>0.1167811808</v>
      </c>
      <c r="C55" s="28">
        <f>sheet1!C55/sheet1!C$61</f>
        <v>0.107990319</v>
      </c>
      <c r="D55" s="28">
        <f>sheet1!D55/sheet1!D$61</f>
        <v>0.05230207629</v>
      </c>
      <c r="E55" s="28"/>
      <c r="G55" s="32">
        <f>sheet1!B55/sheet1!$B55</f>
        <v>1</v>
      </c>
      <c r="H55" s="32">
        <f>sheet1!C55/sheet1!$B55</f>
        <v>1</v>
      </c>
      <c r="I55" s="32">
        <f>sheet1!D55/sheet1!$B55</f>
        <v>0.5970241609</v>
      </c>
    </row>
    <row r="56">
      <c r="A56" s="4" t="s">
        <v>58</v>
      </c>
      <c r="B56" s="28">
        <f>sheet1!B56/sheet1!B$61</f>
        <v>0</v>
      </c>
      <c r="C56" s="28">
        <f>sheet1!C56/sheet1!C$61</f>
        <v>0</v>
      </c>
      <c r="D56" s="28">
        <f>sheet1!D56/sheet1!D$61</f>
        <v>0.0003022993857</v>
      </c>
      <c r="E56" s="28"/>
      <c r="G56" s="32"/>
      <c r="H56" s="32"/>
      <c r="I56" s="32"/>
    </row>
    <row r="57">
      <c r="A57" s="4" t="s">
        <v>59</v>
      </c>
      <c r="B57" s="28">
        <f>sheet1!B57/sheet1!B$61</f>
        <v>0.007772348667</v>
      </c>
      <c r="C57" s="28">
        <f>sheet1!C57/sheet1!C$61</f>
        <v>0.03129476653</v>
      </c>
      <c r="D57" s="28">
        <f>sheet1!D57/sheet1!D$61</f>
        <v>0.001068390734</v>
      </c>
      <c r="E57" s="28"/>
      <c r="G57" s="32">
        <f>sheet1!B57/sheet1!$B57</f>
        <v>1</v>
      </c>
      <c r="H57" s="32">
        <f>sheet1!C57/sheet1!$B57</f>
        <v>4.354191032</v>
      </c>
      <c r="I57" s="32">
        <f>sheet1!D57/sheet1!$B57</f>
        <v>0.183241432</v>
      </c>
    </row>
    <row r="58">
      <c r="A58" s="4" t="s">
        <v>17</v>
      </c>
      <c r="B58" s="28">
        <f>sheet1!B58/sheet1!B$61</f>
        <v>0</v>
      </c>
      <c r="C58" s="28">
        <f>sheet1!C58/sheet1!C$61</f>
        <v>0</v>
      </c>
      <c r="D58" s="28">
        <f>sheet1!D58/sheet1!D$61</f>
        <v>0</v>
      </c>
      <c r="E58" s="28"/>
      <c r="G58" s="32"/>
      <c r="H58" s="32"/>
      <c r="I58" s="32"/>
    </row>
    <row r="59">
      <c r="A59" s="6" t="s">
        <v>60</v>
      </c>
      <c r="B59" s="30">
        <f>sheet1!B59/sheet1!B$61</f>
        <v>0.4906050829</v>
      </c>
      <c r="C59" s="30">
        <f>sheet1!C59/sheet1!C$61</f>
        <v>0.4182240349</v>
      </c>
      <c r="D59" s="30">
        <f>sheet1!D59/sheet1!D$61</f>
        <v>0.4218810952</v>
      </c>
      <c r="E59" s="30"/>
      <c r="G59" s="32">
        <f>sheet1!B59/sheet1!$B59</f>
        <v>1</v>
      </c>
      <c r="H59" s="32">
        <f>sheet1!C59/sheet1!$B59</f>
        <v>0.9218600235</v>
      </c>
      <c r="I59" s="32">
        <f>sheet1!D59/sheet1!$B59</f>
        <v>1.146314697</v>
      </c>
    </row>
    <row r="60">
      <c r="A60" s="6" t="s">
        <v>61</v>
      </c>
      <c r="B60" s="30">
        <f>sheet1!B60/sheet1!B$61</f>
        <v>0.6318108677</v>
      </c>
      <c r="C60" s="30">
        <f>sheet1!C60/sheet1!C$61</f>
        <v>0.5253470117</v>
      </c>
      <c r="D60" s="30">
        <f>sheet1!D60/sheet1!D$61</f>
        <v>0.5526524344</v>
      </c>
      <c r="E60" s="30"/>
      <c r="G60" s="32">
        <f>sheet1!B60/sheet1!$B60</f>
        <v>1</v>
      </c>
      <c r="H60" s="32">
        <f>sheet1!C60/sheet1!$B60</f>
        <v>0.8991811878</v>
      </c>
      <c r="I60" s="32">
        <f>sheet1!D60/sheet1!$B60</f>
        <v>1.166032981</v>
      </c>
    </row>
    <row r="61">
      <c r="A61" s="6" t="s">
        <v>62</v>
      </c>
      <c r="B61" s="30">
        <f>sheet1!B61/sheet1!B$61</f>
        <v>1</v>
      </c>
      <c r="C61" s="30">
        <f>sheet1!C61/sheet1!C$61</f>
        <v>1</v>
      </c>
      <c r="D61" s="30">
        <f>sheet1!D61/sheet1!D$61</f>
        <v>1</v>
      </c>
      <c r="E61" s="30"/>
      <c r="G61" s="32">
        <f>sheet1!B61/sheet1!$B61</f>
        <v>1</v>
      </c>
      <c r="H61" s="32">
        <f>sheet1!C61/sheet1!$B61</f>
        <v>1.081404165</v>
      </c>
      <c r="I61" s="32">
        <f>sheet1!D61/sheet1!$B61</f>
        <v>1.333048158</v>
      </c>
    </row>
  </sheetData>
  <mergeCells count="7">
    <mergeCell ref="A63:I63"/>
    <mergeCell ref="A65:I65"/>
    <mergeCell ref="A66:I66"/>
    <mergeCell ref="A67:I67"/>
    <mergeCell ref="A69:I69"/>
    <mergeCell ref="A70:I70"/>
    <mergeCell ref="A71:I71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4" max="4" width="26.13"/>
    <col customWidth="1" min="5" max="5" width="17.5"/>
    <col customWidth="1" min="7" max="7" width="18.63"/>
    <col customWidth="1" min="8" max="8" width="13.5"/>
    <col customWidth="1" min="9" max="9" width="20.5"/>
    <col customWidth="1" min="10" max="10" width="16.13"/>
    <col customWidth="1" min="12" max="12" width="24.38"/>
    <col customWidth="1" min="13" max="13" width="10.13"/>
    <col customWidth="1" min="14" max="14" width="11.75"/>
  </cols>
  <sheetData>
    <row r="2">
      <c r="A2" s="33" t="s">
        <v>94</v>
      </c>
      <c r="B2" s="33" t="s">
        <v>95</v>
      </c>
      <c r="C2" s="33" t="s">
        <v>96</v>
      </c>
      <c r="D2" s="34" t="s">
        <v>97</v>
      </c>
      <c r="E2" s="34" t="s">
        <v>98</v>
      </c>
      <c r="G2" s="35" t="s">
        <v>99</v>
      </c>
      <c r="H2" s="35" t="s">
        <v>100</v>
      </c>
      <c r="I2" s="35" t="s">
        <v>101</v>
      </c>
      <c r="J2" s="35" t="s">
        <v>102</v>
      </c>
      <c r="L2" s="36" t="s">
        <v>103</v>
      </c>
      <c r="M2" s="36" t="s">
        <v>104</v>
      </c>
      <c r="N2" s="36" t="s">
        <v>105</v>
      </c>
    </row>
    <row r="3">
      <c r="A3" s="37">
        <v>46150.0</v>
      </c>
      <c r="B3" s="38">
        <v>41.8</v>
      </c>
      <c r="C3" s="39">
        <v>0.0175</v>
      </c>
      <c r="D3" s="38">
        <v>55.75</v>
      </c>
      <c r="E3" s="39">
        <v>-0.015</v>
      </c>
      <c r="G3" s="40">
        <f t="shared" ref="G3:G67" si="1">C3 - $M$4</f>
        <v>0.01824153846</v>
      </c>
      <c r="H3" s="40">
        <f t="shared" ref="H3:H67" si="2">G3^2</f>
        <v>0.0003327537254</v>
      </c>
      <c r="I3" s="40">
        <f t="shared" ref="I3:I67" si="3">E3 - $N$4</f>
        <v>-0.01283846154</v>
      </c>
      <c r="J3" s="40">
        <f t="shared" ref="J3:J67" si="4">I3^2</f>
        <v>0.0001648260947</v>
      </c>
      <c r="L3" s="41" t="s">
        <v>106</v>
      </c>
      <c r="M3" s="42">
        <f>COUNT(C3:C67)</f>
        <v>65</v>
      </c>
      <c r="N3" s="42">
        <f>COUNT(E3:E67)</f>
        <v>65</v>
      </c>
    </row>
    <row r="4">
      <c r="A4" s="37">
        <v>46149.0</v>
      </c>
      <c r="B4" s="38">
        <v>41.08</v>
      </c>
      <c r="C4" s="39">
        <v>0.0146</v>
      </c>
      <c r="D4" s="38">
        <v>56.6</v>
      </c>
      <c r="E4" s="39">
        <v>0.022</v>
      </c>
      <c r="G4" s="40">
        <f t="shared" si="1"/>
        <v>0.01534153846</v>
      </c>
      <c r="H4" s="40">
        <f t="shared" si="2"/>
        <v>0.0002353628024</v>
      </c>
      <c r="I4" s="40">
        <f t="shared" si="3"/>
        <v>0.02416153846</v>
      </c>
      <c r="J4" s="40">
        <f t="shared" si="4"/>
        <v>0.0005837799408</v>
      </c>
      <c r="L4" s="41" t="s">
        <v>107</v>
      </c>
      <c r="M4" s="32">
        <f>AVERAGE(C3:C67)</f>
        <v>-0.0007415384615</v>
      </c>
      <c r="N4" s="32">
        <f>AVERAGE(E3:E67)</f>
        <v>-0.002161538462</v>
      </c>
    </row>
    <row r="5">
      <c r="A5" s="37">
        <v>46148.0</v>
      </c>
      <c r="B5" s="38">
        <v>40.49</v>
      </c>
      <c r="C5" s="39">
        <v>0.0503</v>
      </c>
      <c r="D5" s="38">
        <v>55.38</v>
      </c>
      <c r="E5" s="39">
        <v>0.0402</v>
      </c>
      <c r="G5" s="40">
        <f t="shared" si="1"/>
        <v>0.05104153846</v>
      </c>
      <c r="H5" s="40">
        <f t="shared" si="2"/>
        <v>0.002605238649</v>
      </c>
      <c r="I5" s="40">
        <f t="shared" si="3"/>
        <v>0.04236153846</v>
      </c>
      <c r="J5" s="40">
        <f t="shared" si="4"/>
        <v>0.001794499941</v>
      </c>
      <c r="L5" s="41" t="s">
        <v>108</v>
      </c>
      <c r="M5" s="40">
        <f>SUM(H3:H67)</f>
        <v>0.08958825785</v>
      </c>
      <c r="N5" s="40">
        <f>SUM(J3:J67)</f>
        <v>0.08609521385</v>
      </c>
    </row>
    <row r="6">
      <c r="A6" s="37">
        <v>46147.0</v>
      </c>
      <c r="B6" s="38">
        <v>38.55</v>
      </c>
      <c r="C6" s="39">
        <v>-0.0163</v>
      </c>
      <c r="D6" s="38">
        <v>53.24</v>
      </c>
      <c r="E6" s="39">
        <v>-0.0088</v>
      </c>
      <c r="G6" s="40">
        <f t="shared" si="1"/>
        <v>-0.01555846154</v>
      </c>
      <c r="H6" s="40">
        <f t="shared" si="2"/>
        <v>0.0002420657254</v>
      </c>
      <c r="I6" s="40">
        <f t="shared" si="3"/>
        <v>-0.006638461538</v>
      </c>
      <c r="J6" s="40">
        <f t="shared" si="4"/>
        <v>0.0000440691716</v>
      </c>
      <c r="L6" s="41" t="s">
        <v>109</v>
      </c>
      <c r="M6" s="40">
        <f t="shared" ref="M6:N6" si="5">M5/(M3-1)</f>
        <v>0.001399816529</v>
      </c>
      <c r="N6" s="40">
        <f t="shared" si="5"/>
        <v>0.001345237716</v>
      </c>
    </row>
    <row r="7">
      <c r="A7" s="37">
        <v>46146.0</v>
      </c>
      <c r="B7" s="38">
        <v>39.19</v>
      </c>
      <c r="C7" s="39">
        <v>0.0095</v>
      </c>
      <c r="D7" s="38">
        <v>53.71</v>
      </c>
      <c r="E7" s="39">
        <v>0.0081</v>
      </c>
      <c r="G7" s="40">
        <f t="shared" si="1"/>
        <v>0.01024153846</v>
      </c>
      <c r="H7" s="40">
        <f t="shared" si="2"/>
        <v>0.0001048891101</v>
      </c>
      <c r="I7" s="40">
        <f t="shared" si="3"/>
        <v>0.01026153846</v>
      </c>
      <c r="J7" s="40">
        <f t="shared" si="4"/>
        <v>0.0001052991716</v>
      </c>
      <c r="L7" s="41" t="s">
        <v>110</v>
      </c>
      <c r="M7" s="32">
        <f t="shared" ref="M7:N7" si="6">SQRT(M6)</f>
        <v>0.03741412205</v>
      </c>
      <c r="N7" s="32">
        <f t="shared" si="6"/>
        <v>0.03667748242</v>
      </c>
    </row>
    <row r="8">
      <c r="A8" s="37">
        <v>46142.0</v>
      </c>
      <c r="B8" s="38">
        <v>38.82</v>
      </c>
      <c r="C8" s="39">
        <v>0.0128</v>
      </c>
      <c r="D8" s="38">
        <v>53.28</v>
      </c>
      <c r="E8" s="39">
        <v>-0.0426</v>
      </c>
      <c r="G8" s="40">
        <f t="shared" si="1"/>
        <v>0.01354153846</v>
      </c>
      <c r="H8" s="40">
        <f t="shared" si="2"/>
        <v>0.0001833732639</v>
      </c>
      <c r="I8" s="40">
        <f t="shared" si="3"/>
        <v>-0.04043846154</v>
      </c>
      <c r="J8" s="40">
        <f t="shared" si="4"/>
        <v>0.001635269172</v>
      </c>
      <c r="L8" s="41" t="s">
        <v>111</v>
      </c>
      <c r="M8" s="32">
        <f t="shared" ref="M8:N8" si="7">M7/M4</f>
        <v>-50.45472891</v>
      </c>
      <c r="N8" s="32">
        <f t="shared" si="7"/>
        <v>-16.9682303</v>
      </c>
    </row>
    <row r="9">
      <c r="A9" s="37">
        <v>46141.0</v>
      </c>
      <c r="B9" s="38">
        <v>38.33</v>
      </c>
      <c r="C9" s="39">
        <v>-0.0786</v>
      </c>
      <c r="D9" s="38">
        <v>55.65</v>
      </c>
      <c r="E9" s="39">
        <v>-0.0149</v>
      </c>
      <c r="G9" s="40">
        <f t="shared" si="1"/>
        <v>-0.07785846154</v>
      </c>
      <c r="H9" s="40">
        <f t="shared" si="2"/>
        <v>0.006061940033</v>
      </c>
      <c r="I9" s="40">
        <f t="shared" si="3"/>
        <v>-0.01273846154</v>
      </c>
      <c r="J9" s="40">
        <f t="shared" si="4"/>
        <v>0.0001622684024</v>
      </c>
      <c r="L9" s="43" t="s">
        <v>112</v>
      </c>
      <c r="M9" s="43" t="s">
        <v>113</v>
      </c>
      <c r="N9" s="43" t="s">
        <v>113</v>
      </c>
    </row>
    <row r="10">
      <c r="A10" s="37">
        <v>46140.0</v>
      </c>
      <c r="B10" s="38">
        <v>41.6</v>
      </c>
      <c r="C10" s="39">
        <v>-0.0114</v>
      </c>
      <c r="D10" s="38">
        <v>56.49</v>
      </c>
      <c r="E10" s="39">
        <v>-0.0102</v>
      </c>
      <c r="G10" s="40">
        <f t="shared" si="1"/>
        <v>-0.01065846154</v>
      </c>
      <c r="H10" s="40">
        <f t="shared" si="2"/>
        <v>0.0001136028024</v>
      </c>
      <c r="I10" s="40">
        <f t="shared" si="3"/>
        <v>-0.008038461538</v>
      </c>
      <c r="J10" s="40">
        <f t="shared" si="4"/>
        <v>0.00006461686391</v>
      </c>
      <c r="L10" s="41" t="s">
        <v>114</v>
      </c>
      <c r="M10" s="40">
        <f>_xlfn.VAR.S(C3:C67)</f>
        <v>0.001399816529</v>
      </c>
      <c r="N10" s="40">
        <f>_xlfn.VAR.S(E3:E67)</f>
        <v>0.001345237716</v>
      </c>
    </row>
    <row r="11">
      <c r="A11" s="37">
        <v>46139.0</v>
      </c>
      <c r="B11" s="38">
        <v>42.08</v>
      </c>
      <c r="C11" s="39">
        <v>0.0094</v>
      </c>
      <c r="D11" s="38">
        <v>57.07</v>
      </c>
      <c r="E11" s="39">
        <v>-0.013</v>
      </c>
      <c r="G11" s="40">
        <f t="shared" si="1"/>
        <v>0.01014153846</v>
      </c>
      <c r="H11" s="40">
        <f t="shared" si="2"/>
        <v>0.0001028508024</v>
      </c>
      <c r="I11" s="40">
        <f t="shared" si="3"/>
        <v>-0.01083846154</v>
      </c>
      <c r="J11" s="40">
        <f t="shared" si="4"/>
        <v>0.0001174722485</v>
      </c>
      <c r="L11" s="41" t="s">
        <v>115</v>
      </c>
      <c r="M11" s="32">
        <f>_xlfn.STDEV.S(C3:C67)</f>
        <v>0.03741412205</v>
      </c>
      <c r="N11" s="32">
        <f>_xlfn.STDEV.S(E3:E67)</f>
        <v>0.03667748242</v>
      </c>
    </row>
    <row r="12">
      <c r="A12" s="37">
        <v>46136.0</v>
      </c>
      <c r="B12" s="38">
        <v>41.69</v>
      </c>
      <c r="C12" s="39">
        <v>0.0291</v>
      </c>
      <c r="D12" s="38">
        <v>57.82</v>
      </c>
      <c r="E12" s="39">
        <v>0.0091</v>
      </c>
      <c r="G12" s="40">
        <f t="shared" si="1"/>
        <v>0.02984153846</v>
      </c>
      <c r="H12" s="40">
        <f t="shared" si="2"/>
        <v>0.0008905174178</v>
      </c>
      <c r="I12" s="40">
        <f t="shared" si="3"/>
        <v>0.01126153846</v>
      </c>
      <c r="J12" s="40">
        <f t="shared" si="4"/>
        <v>0.0001268222485</v>
      </c>
    </row>
    <row r="13">
      <c r="A13" s="37">
        <v>46135.0</v>
      </c>
      <c r="B13" s="38">
        <v>40.51</v>
      </c>
      <c r="C13" s="39">
        <v>0.0</v>
      </c>
      <c r="D13" s="38">
        <v>57.3</v>
      </c>
      <c r="E13" s="39">
        <v>0.0067</v>
      </c>
      <c r="G13" s="40">
        <f t="shared" si="1"/>
        <v>0.0007415384615</v>
      </c>
      <c r="H13" s="40">
        <f t="shared" si="2"/>
        <v>0.0000005498792899</v>
      </c>
      <c r="I13" s="40">
        <f t="shared" si="3"/>
        <v>0.008861538462</v>
      </c>
      <c r="J13" s="40">
        <f t="shared" si="4"/>
        <v>0.00007852686391</v>
      </c>
    </row>
    <row r="14">
      <c r="A14" s="37">
        <v>46134.0</v>
      </c>
      <c r="B14" s="38">
        <v>40.51</v>
      </c>
      <c r="C14" s="39">
        <v>-0.0309</v>
      </c>
      <c r="D14" s="38">
        <v>56.92</v>
      </c>
      <c r="E14" s="39">
        <v>-0.0196</v>
      </c>
      <c r="G14" s="40">
        <f t="shared" si="1"/>
        <v>-0.03015846154</v>
      </c>
      <c r="H14" s="40">
        <f t="shared" si="2"/>
        <v>0.0009095328024</v>
      </c>
      <c r="I14" s="40">
        <f t="shared" si="3"/>
        <v>-0.01743846154</v>
      </c>
      <c r="J14" s="40">
        <f t="shared" si="4"/>
        <v>0.0003040999408</v>
      </c>
    </row>
    <row r="15">
      <c r="A15" s="37">
        <v>46133.0</v>
      </c>
      <c r="B15" s="38">
        <v>41.8</v>
      </c>
      <c r="C15" s="39">
        <v>0.022</v>
      </c>
      <c r="D15" s="38">
        <v>58.06</v>
      </c>
      <c r="E15" s="39">
        <v>0.0064</v>
      </c>
      <c r="G15" s="40">
        <f t="shared" si="1"/>
        <v>0.02274153846</v>
      </c>
      <c r="H15" s="40">
        <f t="shared" si="2"/>
        <v>0.0005171775716</v>
      </c>
      <c r="I15" s="40">
        <f t="shared" si="3"/>
        <v>0.008561538462</v>
      </c>
      <c r="J15" s="40">
        <f t="shared" si="4"/>
        <v>0.00007329994083</v>
      </c>
    </row>
    <row r="16">
      <c r="A16" s="37">
        <v>46132.0</v>
      </c>
      <c r="B16" s="38">
        <v>40.9</v>
      </c>
      <c r="C16" s="39">
        <v>0.0012</v>
      </c>
      <c r="D16" s="38">
        <v>57.69</v>
      </c>
      <c r="E16" s="39">
        <v>-0.0363</v>
      </c>
      <c r="G16" s="40">
        <f t="shared" si="1"/>
        <v>0.001941538462</v>
      </c>
      <c r="H16" s="40">
        <f t="shared" si="2"/>
        <v>0.000003769571598</v>
      </c>
      <c r="I16" s="40">
        <f t="shared" si="3"/>
        <v>-0.03413846154</v>
      </c>
      <c r="J16" s="40">
        <f t="shared" si="4"/>
        <v>0.001165434556</v>
      </c>
    </row>
    <row r="17">
      <c r="A17" s="37">
        <v>46129.0</v>
      </c>
      <c r="B17" s="38">
        <v>40.85</v>
      </c>
      <c r="C17" s="39">
        <v>-0.0343</v>
      </c>
      <c r="D17" s="38">
        <v>59.86</v>
      </c>
      <c r="E17" s="39">
        <v>0.0022</v>
      </c>
      <c r="G17" s="40">
        <f t="shared" si="1"/>
        <v>-0.03355846154</v>
      </c>
      <c r="H17" s="40">
        <f t="shared" si="2"/>
        <v>0.001126170341</v>
      </c>
      <c r="I17" s="40">
        <f t="shared" si="3"/>
        <v>0.004361538462</v>
      </c>
      <c r="J17" s="40">
        <f t="shared" si="4"/>
        <v>0.00001902301775</v>
      </c>
    </row>
    <row r="18">
      <c r="A18" s="37">
        <v>46128.0</v>
      </c>
      <c r="B18" s="38">
        <v>42.3</v>
      </c>
      <c r="C18" s="39">
        <v>0.0012</v>
      </c>
      <c r="D18" s="38">
        <v>59.73</v>
      </c>
      <c r="E18" s="39">
        <v>2.0E-4</v>
      </c>
      <c r="G18" s="40">
        <f t="shared" si="1"/>
        <v>0.001941538462</v>
      </c>
      <c r="H18" s="40">
        <f t="shared" si="2"/>
        <v>0.000003769571598</v>
      </c>
      <c r="I18" s="40">
        <f t="shared" si="3"/>
        <v>0.002361538462</v>
      </c>
      <c r="J18" s="40">
        <f t="shared" si="4"/>
        <v>0.000005576863905</v>
      </c>
    </row>
    <row r="19">
      <c r="A19" s="37">
        <v>46127.0</v>
      </c>
      <c r="B19" s="38">
        <v>42.25</v>
      </c>
      <c r="C19" s="39">
        <v>0.0074</v>
      </c>
      <c r="D19" s="38">
        <v>59.72</v>
      </c>
      <c r="E19" s="39">
        <v>0.03</v>
      </c>
      <c r="G19" s="40">
        <f t="shared" si="1"/>
        <v>0.008141538462</v>
      </c>
      <c r="H19" s="40">
        <f t="shared" si="2"/>
        <v>0.00006628464852</v>
      </c>
      <c r="I19" s="40">
        <f t="shared" si="3"/>
        <v>0.03216153846</v>
      </c>
      <c r="J19" s="40">
        <f t="shared" si="4"/>
        <v>0.001034364556</v>
      </c>
    </row>
    <row r="20">
      <c r="A20" s="37">
        <v>46126.0</v>
      </c>
      <c r="B20" s="38">
        <v>41.94</v>
      </c>
      <c r="C20" s="39">
        <v>0.0214</v>
      </c>
      <c r="D20" s="38">
        <v>57.98</v>
      </c>
      <c r="E20" s="39">
        <v>0.0333</v>
      </c>
      <c r="G20" s="40">
        <f t="shared" si="1"/>
        <v>0.02214153846</v>
      </c>
      <c r="H20" s="40">
        <f t="shared" si="2"/>
        <v>0.0004902477254</v>
      </c>
      <c r="I20" s="40">
        <f t="shared" si="3"/>
        <v>0.03546153846</v>
      </c>
      <c r="J20" s="40">
        <f t="shared" si="4"/>
        <v>0.00125752071</v>
      </c>
    </row>
    <row r="21">
      <c r="A21" s="37">
        <v>46125.0</v>
      </c>
      <c r="B21" s="38">
        <v>41.06</v>
      </c>
      <c r="C21" s="39">
        <v>-0.0561</v>
      </c>
      <c r="D21" s="38">
        <v>56.11</v>
      </c>
      <c r="E21" s="39">
        <v>-0.069</v>
      </c>
      <c r="G21" s="40">
        <f t="shared" si="1"/>
        <v>-0.05535846154</v>
      </c>
      <c r="H21" s="40">
        <f t="shared" si="2"/>
        <v>0.003064559264</v>
      </c>
      <c r="I21" s="40">
        <f t="shared" si="3"/>
        <v>-0.06683846154</v>
      </c>
      <c r="J21" s="40">
        <f t="shared" si="4"/>
        <v>0.004467379941</v>
      </c>
    </row>
    <row r="22">
      <c r="A22" s="37">
        <v>46122.0</v>
      </c>
      <c r="B22" s="38">
        <v>43.5</v>
      </c>
      <c r="C22" s="39">
        <v>-0.0014</v>
      </c>
      <c r="D22" s="38">
        <v>60.27</v>
      </c>
      <c r="E22" s="39">
        <v>0.008</v>
      </c>
      <c r="G22" s="40">
        <f t="shared" si="1"/>
        <v>-0.0006584615385</v>
      </c>
      <c r="H22" s="40">
        <f t="shared" si="2"/>
        <v>0.0000004335715976</v>
      </c>
      <c r="I22" s="40">
        <f t="shared" si="3"/>
        <v>0.01016153846</v>
      </c>
      <c r="J22" s="40">
        <f t="shared" si="4"/>
        <v>0.0001032568639</v>
      </c>
    </row>
    <row r="23">
      <c r="A23" s="37">
        <v>46121.0</v>
      </c>
      <c r="B23" s="38">
        <v>43.56</v>
      </c>
      <c r="C23" s="39">
        <v>0.0107</v>
      </c>
      <c r="D23" s="38">
        <v>59.79</v>
      </c>
      <c r="E23" s="39">
        <v>0.0259</v>
      </c>
      <c r="G23" s="40">
        <f t="shared" si="1"/>
        <v>0.01144153846</v>
      </c>
      <c r="H23" s="40">
        <f t="shared" si="2"/>
        <v>0.0001309088024</v>
      </c>
      <c r="I23" s="40">
        <f t="shared" si="3"/>
        <v>0.02806153846</v>
      </c>
      <c r="J23" s="40">
        <f t="shared" si="4"/>
        <v>0.0007874499408</v>
      </c>
    </row>
    <row r="24">
      <c r="A24" s="37">
        <v>46120.0</v>
      </c>
      <c r="B24" s="38">
        <v>43.1</v>
      </c>
      <c r="C24" s="39">
        <v>0.0778</v>
      </c>
      <c r="D24" s="38">
        <v>58.28</v>
      </c>
      <c r="E24" s="39">
        <v>0.1</v>
      </c>
      <c r="G24" s="40">
        <f t="shared" si="1"/>
        <v>0.07854153846</v>
      </c>
      <c r="H24" s="40">
        <f t="shared" si="2"/>
        <v>0.006168773264</v>
      </c>
      <c r="I24" s="40">
        <f t="shared" si="3"/>
        <v>0.1021615385</v>
      </c>
      <c r="J24" s="40">
        <f t="shared" si="4"/>
        <v>0.01043697994</v>
      </c>
    </row>
    <row r="25">
      <c r="A25" s="37">
        <v>46119.0</v>
      </c>
      <c r="B25" s="38">
        <v>39.99</v>
      </c>
      <c r="C25" s="39">
        <v>-2.0E-4</v>
      </c>
      <c r="D25" s="38">
        <v>52.98</v>
      </c>
      <c r="E25" s="39">
        <v>0.0047</v>
      </c>
      <c r="G25" s="40">
        <f t="shared" si="1"/>
        <v>0.0005415384615</v>
      </c>
      <c r="H25" s="40">
        <f t="shared" si="2"/>
        <v>0.0000002932639053</v>
      </c>
      <c r="I25" s="40">
        <f t="shared" si="3"/>
        <v>0.006861538462</v>
      </c>
      <c r="J25" s="40">
        <f t="shared" si="4"/>
        <v>0.00004708071006</v>
      </c>
    </row>
    <row r="26">
      <c r="A26" s="37">
        <v>46118.0</v>
      </c>
      <c r="B26" s="38">
        <v>40.0</v>
      </c>
      <c r="C26" s="39">
        <v>0.0</v>
      </c>
      <c r="D26" s="38">
        <v>52.73</v>
      </c>
      <c r="E26" s="39">
        <v>0.0107</v>
      </c>
      <c r="G26" s="40">
        <f t="shared" si="1"/>
        <v>0.0007415384615</v>
      </c>
      <c r="H26" s="40">
        <f t="shared" si="2"/>
        <v>0.0000005498792899</v>
      </c>
      <c r="I26" s="40">
        <f t="shared" si="3"/>
        <v>0.01286153846</v>
      </c>
      <c r="J26" s="40">
        <f t="shared" si="4"/>
        <v>0.0001654191716</v>
      </c>
    </row>
    <row r="27">
      <c r="A27" s="37">
        <v>46115.0</v>
      </c>
      <c r="B27" s="38">
        <v>40.0</v>
      </c>
      <c r="C27" s="39">
        <v>0.0</v>
      </c>
      <c r="D27" s="38">
        <v>52.17</v>
      </c>
      <c r="E27" s="39">
        <v>-0.0272</v>
      </c>
      <c r="G27" s="40">
        <f t="shared" si="1"/>
        <v>0.0007415384615</v>
      </c>
      <c r="H27" s="40">
        <f t="shared" si="2"/>
        <v>0.0000005498792899</v>
      </c>
      <c r="I27" s="40">
        <f t="shared" si="3"/>
        <v>-0.02503846154</v>
      </c>
      <c r="J27" s="40">
        <f t="shared" si="4"/>
        <v>0.0006269245562</v>
      </c>
    </row>
    <row r="28">
      <c r="A28" s="37">
        <v>46114.0</v>
      </c>
      <c r="B28" s="38">
        <v>40.0</v>
      </c>
      <c r="C28" s="39">
        <v>0.0</v>
      </c>
      <c r="D28" s="38">
        <v>53.63</v>
      </c>
      <c r="E28" s="39">
        <v>-0.0288</v>
      </c>
      <c r="G28" s="40">
        <f t="shared" si="1"/>
        <v>0.0007415384615</v>
      </c>
      <c r="H28" s="40">
        <f t="shared" si="2"/>
        <v>0.0000005498792899</v>
      </c>
      <c r="I28" s="40">
        <f t="shared" si="3"/>
        <v>-0.02663846154</v>
      </c>
      <c r="J28" s="40">
        <f t="shared" si="4"/>
        <v>0.0007096076331</v>
      </c>
    </row>
    <row r="29">
      <c r="A29" s="37">
        <v>46113.0</v>
      </c>
      <c r="B29" s="38">
        <v>40.0</v>
      </c>
      <c r="C29" s="39">
        <v>-0.0065</v>
      </c>
      <c r="D29" s="38">
        <v>55.22</v>
      </c>
      <c r="E29" s="39">
        <v>0.0617</v>
      </c>
      <c r="G29" s="40">
        <f t="shared" si="1"/>
        <v>-0.005758461538</v>
      </c>
      <c r="H29" s="40">
        <f t="shared" si="2"/>
        <v>0.00003315987929</v>
      </c>
      <c r="I29" s="40">
        <f t="shared" si="3"/>
        <v>0.06386153846</v>
      </c>
      <c r="J29" s="40">
        <f t="shared" si="4"/>
        <v>0.004078296095</v>
      </c>
    </row>
    <row r="30">
      <c r="A30" s="37">
        <v>46112.0</v>
      </c>
      <c r="B30" s="38">
        <v>40.26</v>
      </c>
      <c r="C30" s="39">
        <v>-0.0125</v>
      </c>
      <c r="D30" s="38">
        <v>52.01</v>
      </c>
      <c r="E30" s="39">
        <v>0.0044</v>
      </c>
      <c r="G30" s="40">
        <f t="shared" si="1"/>
        <v>-0.01175846154</v>
      </c>
      <c r="H30" s="40">
        <f t="shared" si="2"/>
        <v>0.0001382614178</v>
      </c>
      <c r="I30" s="40">
        <f t="shared" si="3"/>
        <v>0.006561538462</v>
      </c>
      <c r="J30" s="40">
        <f t="shared" si="4"/>
        <v>0.00004305378698</v>
      </c>
    </row>
    <row r="31">
      <c r="A31" s="37">
        <v>46111.0</v>
      </c>
      <c r="B31" s="38">
        <v>40.77</v>
      </c>
      <c r="C31" s="39">
        <v>0.0</v>
      </c>
      <c r="D31" s="38">
        <v>51.78</v>
      </c>
      <c r="E31" s="39">
        <v>-0.0139</v>
      </c>
      <c r="G31" s="40">
        <f t="shared" si="1"/>
        <v>0.0007415384615</v>
      </c>
      <c r="H31" s="40">
        <f t="shared" si="2"/>
        <v>0.0000005498792899</v>
      </c>
      <c r="I31" s="40">
        <f t="shared" si="3"/>
        <v>-0.01173846154</v>
      </c>
      <c r="J31" s="40">
        <f t="shared" si="4"/>
        <v>0.0001377914793</v>
      </c>
    </row>
    <row r="32">
      <c r="A32" s="37">
        <v>46108.0</v>
      </c>
      <c r="B32" s="38">
        <v>40.77</v>
      </c>
      <c r="C32" s="39">
        <v>0.0</v>
      </c>
      <c r="D32" s="38">
        <v>52.51</v>
      </c>
      <c r="E32" s="39">
        <v>-0.0057</v>
      </c>
      <c r="G32" s="40">
        <f t="shared" si="1"/>
        <v>0.0007415384615</v>
      </c>
      <c r="H32" s="40">
        <f t="shared" si="2"/>
        <v>0.0000005498792899</v>
      </c>
      <c r="I32" s="40">
        <f t="shared" si="3"/>
        <v>-0.003538461538</v>
      </c>
      <c r="J32" s="40">
        <f t="shared" si="4"/>
        <v>0.00001252071006</v>
      </c>
    </row>
    <row r="33">
      <c r="A33" s="37">
        <v>46107.0</v>
      </c>
      <c r="B33" s="38">
        <v>40.77</v>
      </c>
      <c r="C33" s="39">
        <v>0.0448</v>
      </c>
      <c r="D33" s="38">
        <v>52.81</v>
      </c>
      <c r="E33" s="39">
        <v>6.0E-4</v>
      </c>
      <c r="G33" s="40">
        <f t="shared" si="1"/>
        <v>0.04554153846</v>
      </c>
      <c r="H33" s="40">
        <f t="shared" si="2"/>
        <v>0.002074031725</v>
      </c>
      <c r="I33" s="40">
        <f t="shared" si="3"/>
        <v>0.002761538462</v>
      </c>
      <c r="J33" s="40">
        <f t="shared" si="4"/>
        <v>0.000007626094675</v>
      </c>
    </row>
    <row r="34">
      <c r="A34" s="37">
        <v>46106.0</v>
      </c>
      <c r="B34" s="38">
        <v>39.02</v>
      </c>
      <c r="C34" s="39">
        <v>0.0039</v>
      </c>
      <c r="D34" s="38">
        <v>52.78</v>
      </c>
      <c r="E34" s="39">
        <v>0.0259</v>
      </c>
      <c r="G34" s="40">
        <f t="shared" si="1"/>
        <v>0.004641538462</v>
      </c>
      <c r="H34" s="40">
        <f t="shared" si="2"/>
        <v>0.00002154387929</v>
      </c>
      <c r="I34" s="40">
        <f t="shared" si="3"/>
        <v>0.02806153846</v>
      </c>
      <c r="J34" s="40">
        <f t="shared" si="4"/>
        <v>0.0007874499408</v>
      </c>
    </row>
    <row r="35">
      <c r="A35" s="37">
        <v>46105.0</v>
      </c>
      <c r="B35" s="38">
        <v>38.87</v>
      </c>
      <c r="C35" s="39">
        <v>0.0449</v>
      </c>
      <c r="D35" s="38">
        <v>51.45</v>
      </c>
      <c r="E35" s="39">
        <v>0.0035</v>
      </c>
      <c r="G35" s="40">
        <f t="shared" si="1"/>
        <v>0.04564153846</v>
      </c>
      <c r="H35" s="40">
        <f t="shared" si="2"/>
        <v>0.002083150033</v>
      </c>
      <c r="I35" s="40">
        <f t="shared" si="3"/>
        <v>0.005661538462</v>
      </c>
      <c r="J35" s="40">
        <f t="shared" si="4"/>
        <v>0.00003205301775</v>
      </c>
    </row>
    <row r="36">
      <c r="A36" s="37">
        <v>46100.0</v>
      </c>
      <c r="B36" s="38">
        <v>37.2</v>
      </c>
      <c r="C36" s="39">
        <v>-0.0623</v>
      </c>
      <c r="D36" s="38">
        <v>51.27</v>
      </c>
      <c r="E36" s="39">
        <v>-0.0208</v>
      </c>
      <c r="G36" s="40">
        <f t="shared" si="1"/>
        <v>-0.06155846154</v>
      </c>
      <c r="H36" s="40">
        <f t="shared" si="2"/>
        <v>0.003789444187</v>
      </c>
      <c r="I36" s="40">
        <f t="shared" si="3"/>
        <v>-0.01863846154</v>
      </c>
      <c r="J36" s="40">
        <f t="shared" si="4"/>
        <v>0.0003473922485</v>
      </c>
    </row>
    <row r="37">
      <c r="A37" s="37">
        <v>46099.0</v>
      </c>
      <c r="B37" s="38">
        <v>39.67</v>
      </c>
      <c r="C37" s="39">
        <v>0.0377</v>
      </c>
      <c r="D37" s="38">
        <v>52.36</v>
      </c>
      <c r="E37" s="39">
        <v>0.0217</v>
      </c>
      <c r="G37" s="40">
        <f t="shared" si="1"/>
        <v>0.03844153846</v>
      </c>
      <c r="H37" s="40">
        <f t="shared" si="2"/>
        <v>0.001477751879</v>
      </c>
      <c r="I37" s="40">
        <f t="shared" si="3"/>
        <v>0.02386153846</v>
      </c>
      <c r="J37" s="40">
        <f t="shared" si="4"/>
        <v>0.0005693730178</v>
      </c>
    </row>
    <row r="38">
      <c r="A38" s="37">
        <v>46098.0</v>
      </c>
      <c r="B38" s="38">
        <v>38.23</v>
      </c>
      <c r="C38" s="39">
        <v>0.0423</v>
      </c>
      <c r="D38" s="38">
        <v>51.25</v>
      </c>
      <c r="E38" s="39">
        <v>0.0232</v>
      </c>
      <c r="G38" s="40">
        <f t="shared" si="1"/>
        <v>0.04304153846</v>
      </c>
      <c r="H38" s="40">
        <f t="shared" si="2"/>
        <v>0.001852574033</v>
      </c>
      <c r="I38" s="40">
        <f t="shared" si="3"/>
        <v>0.02536153846</v>
      </c>
      <c r="J38" s="40">
        <f t="shared" si="4"/>
        <v>0.0006432076331</v>
      </c>
    </row>
    <row r="39">
      <c r="A39" s="37">
        <v>46097.0</v>
      </c>
      <c r="B39" s="38">
        <v>36.68</v>
      </c>
      <c r="C39" s="39">
        <v>-0.0483</v>
      </c>
      <c r="D39" s="38">
        <v>50.09</v>
      </c>
      <c r="E39" s="39">
        <v>-0.0153</v>
      </c>
      <c r="G39" s="40">
        <f t="shared" si="1"/>
        <v>-0.04755846154</v>
      </c>
      <c r="H39" s="40">
        <f t="shared" si="2"/>
        <v>0.002261807264</v>
      </c>
      <c r="I39" s="40">
        <f t="shared" si="3"/>
        <v>-0.01313846154</v>
      </c>
      <c r="J39" s="40">
        <f t="shared" si="4"/>
        <v>0.0001726191716</v>
      </c>
    </row>
    <row r="40">
      <c r="A40" s="37">
        <v>46094.0</v>
      </c>
      <c r="B40" s="38">
        <v>38.54</v>
      </c>
      <c r="C40" s="39">
        <v>0.0126</v>
      </c>
      <c r="D40" s="38">
        <v>50.87</v>
      </c>
      <c r="E40" s="39">
        <v>0.0113</v>
      </c>
      <c r="G40" s="40">
        <f t="shared" si="1"/>
        <v>0.01334153846</v>
      </c>
      <c r="H40" s="40">
        <f t="shared" si="2"/>
        <v>0.0001779966485</v>
      </c>
      <c r="I40" s="40">
        <f t="shared" si="3"/>
        <v>0.01346153846</v>
      </c>
      <c r="J40" s="40">
        <f t="shared" si="4"/>
        <v>0.0001812130178</v>
      </c>
    </row>
    <row r="41">
      <c r="A41" s="37">
        <v>46093.0</v>
      </c>
      <c r="B41" s="38">
        <v>38.06</v>
      </c>
      <c r="C41" s="39">
        <v>-0.0268</v>
      </c>
      <c r="D41" s="38">
        <v>50.3</v>
      </c>
      <c r="E41" s="39">
        <v>-0.0191</v>
      </c>
      <c r="G41" s="40">
        <f t="shared" si="1"/>
        <v>-0.02605846154</v>
      </c>
      <c r="H41" s="40">
        <f t="shared" si="2"/>
        <v>0.0006790434178</v>
      </c>
      <c r="I41" s="40">
        <f t="shared" si="3"/>
        <v>-0.01693846154</v>
      </c>
      <c r="J41" s="40">
        <f t="shared" si="4"/>
        <v>0.0002869114793</v>
      </c>
    </row>
    <row r="42">
      <c r="A42" s="37">
        <v>46092.0</v>
      </c>
      <c r="B42" s="38">
        <v>39.11</v>
      </c>
      <c r="C42" s="39">
        <v>0.0279</v>
      </c>
      <c r="D42" s="38">
        <v>51.28</v>
      </c>
      <c r="E42" s="39">
        <v>0.0063</v>
      </c>
      <c r="G42" s="40">
        <f t="shared" si="1"/>
        <v>0.02864153846</v>
      </c>
      <c r="H42" s="40">
        <f t="shared" si="2"/>
        <v>0.0008203377254</v>
      </c>
      <c r="I42" s="40">
        <f t="shared" si="3"/>
        <v>0.008461538462</v>
      </c>
      <c r="J42" s="40">
        <f t="shared" si="4"/>
        <v>0.00007159763314</v>
      </c>
    </row>
    <row r="43">
      <c r="A43" s="37">
        <v>46091.0</v>
      </c>
      <c r="B43" s="38">
        <v>38.05</v>
      </c>
      <c r="C43" s="39">
        <v>0.094</v>
      </c>
      <c r="D43" s="38">
        <v>50.96</v>
      </c>
      <c r="E43" s="39">
        <v>0.0774</v>
      </c>
      <c r="G43" s="40">
        <f t="shared" si="1"/>
        <v>0.09474153846</v>
      </c>
      <c r="H43" s="40">
        <f t="shared" si="2"/>
        <v>0.00897595911</v>
      </c>
      <c r="I43" s="40">
        <f t="shared" si="3"/>
        <v>0.07956153846</v>
      </c>
      <c r="J43" s="40">
        <f t="shared" si="4"/>
        <v>0.006330038402</v>
      </c>
    </row>
    <row r="44">
      <c r="A44" s="37">
        <v>46090.0</v>
      </c>
      <c r="B44" s="38">
        <v>34.78</v>
      </c>
      <c r="C44" s="39">
        <v>-0.0985</v>
      </c>
      <c r="D44" s="38">
        <v>47.3</v>
      </c>
      <c r="E44" s="39">
        <v>-0.0999</v>
      </c>
      <c r="G44" s="40">
        <f t="shared" si="1"/>
        <v>-0.09775846154</v>
      </c>
      <c r="H44" s="40">
        <f t="shared" si="2"/>
        <v>0.009556716802</v>
      </c>
      <c r="I44" s="40">
        <f t="shared" si="3"/>
        <v>-0.09773846154</v>
      </c>
      <c r="J44" s="40">
        <f t="shared" si="4"/>
        <v>0.009552806864</v>
      </c>
    </row>
    <row r="45">
      <c r="A45" s="37">
        <v>46087.0</v>
      </c>
      <c r="B45" s="38">
        <v>38.58</v>
      </c>
      <c r="C45" s="39">
        <v>-0.0611</v>
      </c>
      <c r="D45" s="38">
        <v>52.55</v>
      </c>
      <c r="E45" s="39">
        <v>-0.017</v>
      </c>
      <c r="G45" s="40">
        <f t="shared" si="1"/>
        <v>-0.06035846154</v>
      </c>
      <c r="H45" s="40">
        <f t="shared" si="2"/>
        <v>0.003643143879</v>
      </c>
      <c r="I45" s="40">
        <f t="shared" si="3"/>
        <v>-0.01483846154</v>
      </c>
      <c r="J45" s="40">
        <f t="shared" si="4"/>
        <v>0.0002201799408</v>
      </c>
    </row>
    <row r="46">
      <c r="A46" s="37">
        <v>46086.0</v>
      </c>
      <c r="B46" s="38">
        <v>41.09</v>
      </c>
      <c r="C46" s="39">
        <v>0.0673</v>
      </c>
      <c r="D46" s="38">
        <v>53.46</v>
      </c>
      <c r="E46" s="39">
        <v>0.0833</v>
      </c>
      <c r="G46" s="40">
        <f t="shared" si="1"/>
        <v>0.06804153846</v>
      </c>
      <c r="H46" s="40">
        <f t="shared" si="2"/>
        <v>0.004629650956</v>
      </c>
      <c r="I46" s="40">
        <f t="shared" si="3"/>
        <v>0.08546153846</v>
      </c>
      <c r="J46" s="40">
        <f t="shared" si="4"/>
        <v>0.007303674556</v>
      </c>
    </row>
    <row r="47">
      <c r="A47" s="37">
        <v>46085.0</v>
      </c>
      <c r="B47" s="38">
        <v>38.5</v>
      </c>
      <c r="C47" s="39">
        <v>-0.0093</v>
      </c>
      <c r="D47" s="38">
        <v>49.35</v>
      </c>
      <c r="E47" s="39">
        <v>0.0239</v>
      </c>
      <c r="G47" s="40">
        <f t="shared" si="1"/>
        <v>-0.008558461538</v>
      </c>
      <c r="H47" s="40">
        <f t="shared" si="2"/>
        <v>0.00007324726391</v>
      </c>
      <c r="I47" s="40">
        <f t="shared" si="3"/>
        <v>0.02606153846</v>
      </c>
      <c r="J47" s="40">
        <f t="shared" si="4"/>
        <v>0.000679203787</v>
      </c>
    </row>
    <row r="48">
      <c r="A48" s="37">
        <v>46084.0</v>
      </c>
      <c r="B48" s="38">
        <v>38.86</v>
      </c>
      <c r="C48" s="39">
        <v>-0.0307</v>
      </c>
      <c r="D48" s="38">
        <v>48.2</v>
      </c>
      <c r="E48" s="39">
        <v>-0.0543</v>
      </c>
      <c r="G48" s="40">
        <f t="shared" si="1"/>
        <v>-0.02995846154</v>
      </c>
      <c r="H48" s="40">
        <f t="shared" si="2"/>
        <v>0.0008975094178</v>
      </c>
      <c r="I48" s="40">
        <f t="shared" si="3"/>
        <v>-0.05213846154</v>
      </c>
      <c r="J48" s="40">
        <f t="shared" si="4"/>
        <v>0.002718419172</v>
      </c>
    </row>
    <row r="49">
      <c r="A49" s="37">
        <v>46083.0</v>
      </c>
      <c r="B49" s="38">
        <v>40.09</v>
      </c>
      <c r="C49" s="39">
        <v>-0.0999</v>
      </c>
      <c r="D49" s="38">
        <v>50.97</v>
      </c>
      <c r="E49" s="39">
        <v>-0.0999</v>
      </c>
      <c r="G49" s="40">
        <f t="shared" si="1"/>
        <v>-0.09915846154</v>
      </c>
      <c r="H49" s="40">
        <f t="shared" si="2"/>
        <v>0.009832400495</v>
      </c>
      <c r="I49" s="40">
        <f t="shared" si="3"/>
        <v>-0.09773846154</v>
      </c>
      <c r="J49" s="40">
        <f t="shared" si="4"/>
        <v>0.009552806864</v>
      </c>
    </row>
    <row r="50">
      <c r="A50" s="37">
        <v>46080.0</v>
      </c>
      <c r="B50" s="38">
        <v>44.54</v>
      </c>
      <c r="C50" s="39">
        <v>-0.0521</v>
      </c>
      <c r="D50" s="38">
        <v>56.63</v>
      </c>
      <c r="E50" s="39">
        <v>-0.0184</v>
      </c>
      <c r="G50" s="40">
        <f t="shared" si="1"/>
        <v>-0.05135846154</v>
      </c>
      <c r="H50" s="40">
        <f t="shared" si="2"/>
        <v>0.002637691572</v>
      </c>
      <c r="I50" s="40">
        <f t="shared" si="3"/>
        <v>-0.01623846154</v>
      </c>
      <c r="J50" s="40">
        <f t="shared" si="4"/>
        <v>0.0002636876331</v>
      </c>
    </row>
    <row r="51">
      <c r="A51" s="37">
        <v>46079.0</v>
      </c>
      <c r="B51" s="38">
        <v>46.99</v>
      </c>
      <c r="C51" s="39">
        <v>0.068</v>
      </c>
      <c r="D51" s="38">
        <v>57.69</v>
      </c>
      <c r="E51" s="39">
        <v>0.0472</v>
      </c>
      <c r="G51" s="40">
        <f t="shared" si="1"/>
        <v>0.06874153846</v>
      </c>
      <c r="H51" s="40">
        <f t="shared" si="2"/>
        <v>0.00472539911</v>
      </c>
      <c r="I51" s="40">
        <f t="shared" si="3"/>
        <v>0.04936153846</v>
      </c>
      <c r="J51" s="40">
        <f t="shared" si="4"/>
        <v>0.002436561479</v>
      </c>
    </row>
    <row r="52">
      <c r="A52" s="37">
        <v>46078.0</v>
      </c>
      <c r="B52" s="38">
        <v>44.0</v>
      </c>
      <c r="C52" s="39">
        <v>-0.0108</v>
      </c>
      <c r="D52" s="38">
        <v>55.09</v>
      </c>
      <c r="E52" s="39">
        <v>-0.0086</v>
      </c>
      <c r="G52" s="40">
        <f t="shared" si="1"/>
        <v>-0.01005846154</v>
      </c>
      <c r="H52" s="40">
        <f t="shared" si="2"/>
        <v>0.0001011726485</v>
      </c>
      <c r="I52" s="40">
        <f t="shared" si="3"/>
        <v>-0.006438461538</v>
      </c>
      <c r="J52" s="40">
        <f t="shared" si="4"/>
        <v>0.00004145378698</v>
      </c>
    </row>
    <row r="53">
      <c r="A53" s="37">
        <v>46077.0</v>
      </c>
      <c r="B53" s="38">
        <v>44.48</v>
      </c>
      <c r="C53" s="39">
        <v>-0.0113</v>
      </c>
      <c r="D53" s="38">
        <v>55.57</v>
      </c>
      <c r="E53" s="39">
        <v>-0.022</v>
      </c>
      <c r="G53" s="40">
        <f t="shared" si="1"/>
        <v>-0.01055846154</v>
      </c>
      <c r="H53" s="40">
        <f t="shared" si="2"/>
        <v>0.0001114811101</v>
      </c>
      <c r="I53" s="40">
        <f t="shared" si="3"/>
        <v>-0.01983846154</v>
      </c>
      <c r="J53" s="40">
        <f t="shared" si="4"/>
        <v>0.0003935645562</v>
      </c>
    </row>
    <row r="54">
      <c r="A54" s="37">
        <v>46076.0</v>
      </c>
      <c r="B54" s="38">
        <v>44.99</v>
      </c>
      <c r="C54" s="39">
        <v>0.0094</v>
      </c>
      <c r="D54" s="38">
        <v>56.82</v>
      </c>
      <c r="E54" s="39">
        <v>-0.0371</v>
      </c>
      <c r="G54" s="40">
        <f t="shared" si="1"/>
        <v>0.01014153846</v>
      </c>
      <c r="H54" s="40">
        <f t="shared" si="2"/>
        <v>0.0001028508024</v>
      </c>
      <c r="I54" s="40">
        <f t="shared" si="3"/>
        <v>-0.03493846154</v>
      </c>
      <c r="J54" s="40">
        <f t="shared" si="4"/>
        <v>0.001220696095</v>
      </c>
    </row>
    <row r="55">
      <c r="A55" s="37">
        <v>46073.0</v>
      </c>
      <c r="B55" s="38">
        <v>44.57</v>
      </c>
      <c r="C55" s="39">
        <v>-0.0476</v>
      </c>
      <c r="D55" s="38">
        <v>59.01</v>
      </c>
      <c r="E55" s="39">
        <v>-0.0126</v>
      </c>
      <c r="G55" s="40">
        <f t="shared" si="1"/>
        <v>-0.04685846154</v>
      </c>
      <c r="H55" s="40">
        <f t="shared" si="2"/>
        <v>0.002195715418</v>
      </c>
      <c r="I55" s="40">
        <f t="shared" si="3"/>
        <v>-0.01043846154</v>
      </c>
      <c r="J55" s="40">
        <f t="shared" si="4"/>
        <v>0.0001089614793</v>
      </c>
    </row>
    <row r="56">
      <c r="A56" s="37">
        <v>46072.0</v>
      </c>
      <c r="B56" s="38">
        <v>46.8</v>
      </c>
      <c r="C56" s="39">
        <v>-0.0178</v>
      </c>
      <c r="D56" s="38">
        <v>59.76</v>
      </c>
      <c r="E56" s="39">
        <v>-0.0735</v>
      </c>
      <c r="G56" s="40">
        <f t="shared" si="1"/>
        <v>-0.01705846154</v>
      </c>
      <c r="H56" s="40">
        <f t="shared" si="2"/>
        <v>0.0002909911101</v>
      </c>
      <c r="I56" s="40">
        <f t="shared" si="3"/>
        <v>-0.07133846154</v>
      </c>
      <c r="J56" s="40">
        <f t="shared" si="4"/>
        <v>0.005089176095</v>
      </c>
    </row>
    <row r="57">
      <c r="A57" s="37">
        <v>46071.0</v>
      </c>
      <c r="B57" s="38">
        <v>47.65</v>
      </c>
      <c r="C57" s="39">
        <v>0.0156</v>
      </c>
      <c r="D57" s="38">
        <v>64.5</v>
      </c>
      <c r="E57" s="39">
        <v>0.0036</v>
      </c>
      <c r="G57" s="40">
        <f t="shared" si="1"/>
        <v>0.01634153846</v>
      </c>
      <c r="H57" s="40">
        <f t="shared" si="2"/>
        <v>0.0002670458793</v>
      </c>
      <c r="I57" s="40">
        <f t="shared" si="3"/>
        <v>0.005761538462</v>
      </c>
      <c r="J57" s="40">
        <f t="shared" si="4"/>
        <v>0.00003319532544</v>
      </c>
    </row>
    <row r="58">
      <c r="A58" s="37">
        <v>46070.0</v>
      </c>
      <c r="B58" s="38">
        <v>46.92</v>
      </c>
      <c r="C58" s="39">
        <v>0.0278</v>
      </c>
      <c r="D58" s="38">
        <v>64.27</v>
      </c>
      <c r="E58" s="39">
        <v>0.0085</v>
      </c>
      <c r="G58" s="40">
        <f t="shared" si="1"/>
        <v>0.02854153846</v>
      </c>
      <c r="H58" s="40">
        <f t="shared" si="2"/>
        <v>0.0008146194178</v>
      </c>
      <c r="I58" s="40">
        <f t="shared" si="3"/>
        <v>0.01066153846</v>
      </c>
      <c r="J58" s="40">
        <f t="shared" si="4"/>
        <v>0.0001136684024</v>
      </c>
    </row>
    <row r="59">
      <c r="A59" s="37">
        <v>46069.0</v>
      </c>
      <c r="B59" s="38">
        <v>45.65</v>
      </c>
      <c r="C59" s="39">
        <v>-0.0287</v>
      </c>
      <c r="D59" s="38">
        <v>63.73</v>
      </c>
      <c r="E59" s="39">
        <v>-0.0306</v>
      </c>
      <c r="G59" s="40">
        <f t="shared" si="1"/>
        <v>-0.02795846154</v>
      </c>
      <c r="H59" s="40">
        <f t="shared" si="2"/>
        <v>0.0007816755716</v>
      </c>
      <c r="I59" s="40">
        <f t="shared" si="3"/>
        <v>-0.02843846154</v>
      </c>
      <c r="J59" s="40">
        <f t="shared" si="4"/>
        <v>0.0008087460947</v>
      </c>
    </row>
    <row r="60">
      <c r="A60" s="37">
        <v>46066.0</v>
      </c>
      <c r="B60" s="38">
        <v>47.0</v>
      </c>
      <c r="C60" s="39">
        <v>0.0</v>
      </c>
      <c r="D60" s="38">
        <v>65.74</v>
      </c>
      <c r="E60" s="39">
        <v>-0.0027</v>
      </c>
      <c r="G60" s="40">
        <f t="shared" si="1"/>
        <v>0.0007415384615</v>
      </c>
      <c r="H60" s="40">
        <f t="shared" si="2"/>
        <v>0.0000005498792899</v>
      </c>
      <c r="I60" s="40">
        <f t="shared" si="3"/>
        <v>-0.0005384615385</v>
      </c>
      <c r="J60" s="40">
        <f t="shared" si="4"/>
        <v>0.0000002899408284</v>
      </c>
    </row>
    <row r="61">
      <c r="A61" s="37">
        <v>46065.0</v>
      </c>
      <c r="B61" s="38">
        <v>47.0</v>
      </c>
      <c r="C61" s="39">
        <v>-9.0E-4</v>
      </c>
      <c r="D61" s="38">
        <v>65.92</v>
      </c>
      <c r="E61" s="39">
        <v>-0.0142</v>
      </c>
      <c r="G61" s="40">
        <f t="shared" si="1"/>
        <v>-0.0001584615385</v>
      </c>
      <c r="H61" s="40">
        <f t="shared" si="2"/>
        <v>0.00000002511005917</v>
      </c>
      <c r="I61" s="40">
        <f t="shared" si="3"/>
        <v>-0.01203846154</v>
      </c>
      <c r="J61" s="40">
        <f t="shared" si="4"/>
        <v>0.0001449245562</v>
      </c>
    </row>
    <row r="62">
      <c r="A62" s="37">
        <v>46064.0</v>
      </c>
      <c r="B62" s="38">
        <v>47.04</v>
      </c>
      <c r="C62" s="39">
        <v>6.0E-4</v>
      </c>
      <c r="D62" s="38">
        <v>66.87</v>
      </c>
      <c r="E62" s="39">
        <v>-0.0199</v>
      </c>
      <c r="G62" s="40">
        <f t="shared" si="1"/>
        <v>0.001341538462</v>
      </c>
      <c r="H62" s="40">
        <f t="shared" si="2"/>
        <v>0.000001799725444</v>
      </c>
      <c r="I62" s="40">
        <f t="shared" si="3"/>
        <v>-0.01773846154</v>
      </c>
      <c r="J62" s="40">
        <f t="shared" si="4"/>
        <v>0.0003146530178</v>
      </c>
    </row>
    <row r="63">
      <c r="A63" s="37">
        <v>46063.0</v>
      </c>
      <c r="B63" s="38">
        <v>47.01</v>
      </c>
      <c r="C63" s="39">
        <v>0.0073</v>
      </c>
      <c r="D63" s="38">
        <v>68.23</v>
      </c>
      <c r="E63" s="39">
        <v>-0.0194</v>
      </c>
      <c r="G63" s="40">
        <f t="shared" si="1"/>
        <v>0.008041538462</v>
      </c>
      <c r="H63" s="40">
        <f t="shared" si="2"/>
        <v>0.00006466634083</v>
      </c>
      <c r="I63" s="40">
        <f t="shared" si="3"/>
        <v>-0.01723846154</v>
      </c>
      <c r="J63" s="40">
        <f t="shared" si="4"/>
        <v>0.0002971645562</v>
      </c>
    </row>
    <row r="64">
      <c r="A64" s="37">
        <v>46062.0</v>
      </c>
      <c r="B64" s="38">
        <v>46.67</v>
      </c>
      <c r="C64" s="39">
        <v>-0.0081</v>
      </c>
      <c r="D64" s="38">
        <v>69.58</v>
      </c>
      <c r="E64" s="39">
        <v>0.0103</v>
      </c>
      <c r="G64" s="40">
        <f t="shared" si="1"/>
        <v>-0.007358461538</v>
      </c>
      <c r="H64" s="40">
        <f t="shared" si="2"/>
        <v>0.00005414695621</v>
      </c>
      <c r="I64" s="40">
        <f t="shared" si="3"/>
        <v>0.01246153846</v>
      </c>
      <c r="J64" s="40">
        <f t="shared" si="4"/>
        <v>0.0001552899408</v>
      </c>
    </row>
    <row r="65">
      <c r="A65" s="37">
        <v>46059.0</v>
      </c>
      <c r="B65" s="38">
        <v>47.05</v>
      </c>
      <c r="C65" s="39">
        <v>-0.0116</v>
      </c>
      <c r="D65" s="38">
        <v>68.87</v>
      </c>
      <c r="E65" s="39">
        <v>-0.0427</v>
      </c>
      <c r="G65" s="40">
        <f t="shared" si="1"/>
        <v>-0.01085846154</v>
      </c>
      <c r="H65" s="40">
        <f t="shared" si="2"/>
        <v>0.000117906187</v>
      </c>
      <c r="I65" s="40">
        <f t="shared" si="3"/>
        <v>-0.04053846154</v>
      </c>
      <c r="J65" s="40">
        <f t="shared" si="4"/>
        <v>0.001643366864</v>
      </c>
    </row>
    <row r="66">
      <c r="A66" s="37">
        <v>46057.0</v>
      </c>
      <c r="B66" s="38">
        <v>47.6</v>
      </c>
      <c r="C66" s="39">
        <v>0.0287</v>
      </c>
      <c r="D66" s="38">
        <v>71.94</v>
      </c>
      <c r="E66" s="39">
        <v>0.0482</v>
      </c>
      <c r="G66" s="40">
        <f t="shared" si="1"/>
        <v>0.02944153846</v>
      </c>
      <c r="H66" s="40">
        <f t="shared" si="2"/>
        <v>0.000866804187</v>
      </c>
      <c r="I66" s="40">
        <f t="shared" si="3"/>
        <v>0.05036153846</v>
      </c>
      <c r="J66" s="40">
        <f t="shared" si="4"/>
        <v>0.002536284556</v>
      </c>
    </row>
    <row r="67">
      <c r="A67" s="37">
        <v>46055.0</v>
      </c>
      <c r="B67" s="38">
        <v>48.53</v>
      </c>
      <c r="C67" s="39">
        <v>0.0081</v>
      </c>
      <c r="D67" s="38">
        <v>68.63</v>
      </c>
      <c r="E67" s="39">
        <v>0.024</v>
      </c>
      <c r="G67" s="40">
        <f t="shared" si="1"/>
        <v>0.008841538462</v>
      </c>
      <c r="H67" s="40">
        <f t="shared" si="2"/>
        <v>0.00007817280237</v>
      </c>
      <c r="I67" s="40">
        <f t="shared" si="3"/>
        <v>0.02616153846</v>
      </c>
      <c r="J67" s="40">
        <f t="shared" si="4"/>
        <v>0.0006844260947</v>
      </c>
    </row>
  </sheetData>
  <drawing r:id="rId1"/>
</worksheet>
</file>